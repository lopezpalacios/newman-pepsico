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dan\Desktop\"/>
    </mc:Choice>
  </mc:AlternateContent>
  <xr:revisionPtr revIDLastSave="0" documentId="13_ncr:1_{92597CE9-AE6C-4640-AF6D-822DB61DC4F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upuestos" sheetId="2" r:id="rId1"/>
    <sheet name="Resumen Ejecutivo" sheetId="1" r:id="rId2"/>
    <sheet name="Ixtlahuacán" sheetId="3" r:id="rId3"/>
    <sheet name="Acapulco" sheetId="4" r:id="rId4"/>
    <sheet name="Cancún" sheetId="5" r:id="rId5"/>
    <sheet name="Proplasa PR1" sheetId="6" r:id="rId6"/>
    <sheet name="Proplasa PR2" sheetId="7" r:id="rId7"/>
    <sheet name="Proplasa Tapas" sheetId="8" r:id="rId8"/>
    <sheet name="Comparativo Comercial" sheetId="9" r:id="rId9"/>
    <sheet name="Proyección 20 año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9" i="4" l="1"/>
  <c r="B80" i="4"/>
  <c r="B81" i="4"/>
  <c r="B82" i="4"/>
  <c r="B83" i="4"/>
  <c r="B84" i="4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H11" i="9"/>
  <c r="G11" i="9"/>
  <c r="F11" i="9"/>
  <c r="E11" i="9"/>
  <c r="D11" i="9"/>
  <c r="C11" i="9"/>
  <c r="B11" i="9"/>
  <c r="H10" i="9"/>
  <c r="G10" i="9"/>
  <c r="F10" i="9"/>
  <c r="E10" i="9"/>
  <c r="D10" i="9"/>
  <c r="C10" i="9"/>
  <c r="B10" i="9"/>
  <c r="H9" i="9"/>
  <c r="G9" i="9"/>
  <c r="F9" i="9"/>
  <c r="E9" i="9"/>
  <c r="D9" i="9"/>
  <c r="C9" i="9"/>
  <c r="B9" i="9"/>
  <c r="H8" i="9"/>
  <c r="G8" i="9"/>
  <c r="F8" i="9"/>
  <c r="E8" i="9"/>
  <c r="D8" i="9"/>
  <c r="C8" i="9"/>
  <c r="B8" i="9"/>
  <c r="H7" i="9"/>
  <c r="G7" i="9"/>
  <c r="F7" i="9"/>
  <c r="E7" i="9"/>
  <c r="D7" i="9"/>
  <c r="C7" i="9"/>
  <c r="B7" i="9"/>
  <c r="H6" i="9"/>
  <c r="G6" i="9"/>
  <c r="F6" i="9"/>
  <c r="E6" i="9"/>
  <c r="D6" i="9"/>
  <c r="C6" i="9"/>
  <c r="B6" i="9"/>
  <c r="C111" i="8"/>
  <c r="C110" i="8"/>
  <c r="I98" i="8"/>
  <c r="C98" i="8"/>
  <c r="B98" i="8"/>
  <c r="I97" i="8"/>
  <c r="C97" i="8"/>
  <c r="B97" i="8"/>
  <c r="I96" i="8"/>
  <c r="C96" i="8"/>
  <c r="B96" i="8"/>
  <c r="I95" i="8"/>
  <c r="C95" i="8"/>
  <c r="B95" i="8"/>
  <c r="I94" i="8"/>
  <c r="C94" i="8"/>
  <c r="B94" i="8"/>
  <c r="C93" i="8"/>
  <c r="B93" i="8"/>
  <c r="C92" i="8"/>
  <c r="B92" i="8"/>
  <c r="C91" i="8"/>
  <c r="B91" i="8"/>
  <c r="C90" i="8"/>
  <c r="B90" i="8"/>
  <c r="C89" i="8"/>
  <c r="B89" i="8"/>
  <c r="C88" i="8"/>
  <c r="B88" i="8"/>
  <c r="C87" i="8"/>
  <c r="B87" i="8"/>
  <c r="C86" i="8"/>
  <c r="B86" i="8"/>
  <c r="C85" i="8"/>
  <c r="B85" i="8"/>
  <c r="B84" i="8"/>
  <c r="C83" i="8"/>
  <c r="B83" i="8"/>
  <c r="C82" i="8"/>
  <c r="B82" i="8"/>
  <c r="C81" i="8"/>
  <c r="B81" i="8"/>
  <c r="C80" i="8"/>
  <c r="B80" i="8"/>
  <c r="B79" i="8"/>
  <c r="B71" i="8"/>
  <c r="A71" i="8"/>
  <c r="B70" i="8"/>
  <c r="A70" i="8"/>
  <c r="B69" i="8"/>
  <c r="A69" i="8"/>
  <c r="B68" i="8"/>
  <c r="A68" i="8"/>
  <c r="B67" i="8"/>
  <c r="A67" i="8"/>
  <c r="B66" i="8"/>
  <c r="A66" i="8"/>
  <c r="B65" i="8"/>
  <c r="A65" i="8"/>
  <c r="B64" i="8"/>
  <c r="A64" i="8"/>
  <c r="B63" i="8"/>
  <c r="A63" i="8"/>
  <c r="B62" i="8"/>
  <c r="A62" i="8"/>
  <c r="B61" i="8"/>
  <c r="A61" i="8"/>
  <c r="B60" i="8"/>
  <c r="A60" i="8"/>
  <c r="C56" i="8"/>
  <c r="A56" i="8"/>
  <c r="C55" i="8"/>
  <c r="A55" i="8"/>
  <c r="C54" i="8"/>
  <c r="A54" i="8"/>
  <c r="C53" i="8"/>
  <c r="A53" i="8"/>
  <c r="C52" i="8"/>
  <c r="A52" i="8"/>
  <c r="C51" i="8"/>
  <c r="A51" i="8"/>
  <c r="C50" i="8"/>
  <c r="A50" i="8"/>
  <c r="C49" i="8"/>
  <c r="A49" i="8"/>
  <c r="C48" i="8"/>
  <c r="A48" i="8"/>
  <c r="C47" i="8"/>
  <c r="A47" i="8"/>
  <c r="C46" i="8"/>
  <c r="A46" i="8"/>
  <c r="C45" i="8"/>
  <c r="A45" i="8"/>
  <c r="B26" i="8"/>
  <c r="C14" i="8"/>
  <c r="C13" i="8"/>
  <c r="D12" i="8"/>
  <c r="B12" i="8"/>
  <c r="C10" i="8"/>
  <c r="J6" i="8"/>
  <c r="H6" i="8"/>
  <c r="F6" i="8"/>
  <c r="D6" i="8"/>
  <c r="B6" i="8"/>
  <c r="C111" i="7"/>
  <c r="C110" i="7"/>
  <c r="I98" i="7"/>
  <c r="C98" i="7"/>
  <c r="B98" i="7"/>
  <c r="I97" i="7"/>
  <c r="C97" i="7"/>
  <c r="B97" i="7"/>
  <c r="I96" i="7"/>
  <c r="C96" i="7"/>
  <c r="B96" i="7"/>
  <c r="I95" i="7"/>
  <c r="C95" i="7"/>
  <c r="B95" i="7"/>
  <c r="I94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B84" i="7"/>
  <c r="B83" i="7"/>
  <c r="B82" i="7"/>
  <c r="B81" i="7"/>
  <c r="B80" i="7"/>
  <c r="B79" i="7"/>
  <c r="B71" i="7"/>
  <c r="A71" i="7"/>
  <c r="B70" i="7"/>
  <c r="A70" i="7"/>
  <c r="B69" i="7"/>
  <c r="A69" i="7"/>
  <c r="B68" i="7"/>
  <c r="A68" i="7"/>
  <c r="B67" i="7"/>
  <c r="A67" i="7"/>
  <c r="B66" i="7"/>
  <c r="A66" i="7"/>
  <c r="B65" i="7"/>
  <c r="A65" i="7"/>
  <c r="B64" i="7"/>
  <c r="A64" i="7"/>
  <c r="B63" i="7"/>
  <c r="A63" i="7"/>
  <c r="B62" i="7"/>
  <c r="A62" i="7"/>
  <c r="B61" i="7"/>
  <c r="A61" i="7"/>
  <c r="B60" i="7"/>
  <c r="A60" i="7"/>
  <c r="C56" i="7"/>
  <c r="A56" i="7"/>
  <c r="C55" i="7"/>
  <c r="A55" i="7"/>
  <c r="C54" i="7"/>
  <c r="A54" i="7"/>
  <c r="C53" i="7"/>
  <c r="A53" i="7"/>
  <c r="C52" i="7"/>
  <c r="A52" i="7"/>
  <c r="C51" i="7"/>
  <c r="A51" i="7"/>
  <c r="C50" i="7"/>
  <c r="A50" i="7"/>
  <c r="C49" i="7"/>
  <c r="A49" i="7"/>
  <c r="C48" i="7"/>
  <c r="A48" i="7"/>
  <c r="C47" i="7"/>
  <c r="A47" i="7"/>
  <c r="C46" i="7"/>
  <c r="A46" i="7"/>
  <c r="C45" i="7"/>
  <c r="A45" i="7"/>
  <c r="B26" i="7"/>
  <c r="C14" i="7"/>
  <c r="C13" i="7"/>
  <c r="D12" i="7"/>
  <c r="B12" i="7"/>
  <c r="C10" i="7"/>
  <c r="J6" i="7"/>
  <c r="H6" i="7"/>
  <c r="F6" i="7"/>
  <c r="D6" i="7"/>
  <c r="B6" i="7"/>
  <c r="C111" i="6"/>
  <c r="C110" i="6"/>
  <c r="I98" i="6"/>
  <c r="C98" i="6"/>
  <c r="B98" i="6"/>
  <c r="I97" i="6"/>
  <c r="C97" i="6"/>
  <c r="B97" i="6"/>
  <c r="I96" i="6"/>
  <c r="C96" i="6"/>
  <c r="B96" i="6"/>
  <c r="I95" i="6"/>
  <c r="C95" i="6"/>
  <c r="B95" i="6"/>
  <c r="I94" i="6"/>
  <c r="C94" i="6"/>
  <c r="B94" i="6"/>
  <c r="C93" i="6"/>
  <c r="B93" i="6"/>
  <c r="C92" i="6"/>
  <c r="B92" i="6"/>
  <c r="C91" i="6"/>
  <c r="B91" i="6"/>
  <c r="C90" i="6"/>
  <c r="B90" i="6"/>
  <c r="C89" i="6"/>
  <c r="B89" i="6"/>
  <c r="C88" i="6"/>
  <c r="B88" i="6"/>
  <c r="C87" i="6"/>
  <c r="B87" i="6"/>
  <c r="C86" i="6"/>
  <c r="B86" i="6"/>
  <c r="C85" i="6"/>
  <c r="B85" i="6"/>
  <c r="C84" i="6"/>
  <c r="B84" i="6"/>
  <c r="C83" i="6"/>
  <c r="B83" i="6"/>
  <c r="C82" i="6"/>
  <c r="B82" i="6"/>
  <c r="C81" i="6"/>
  <c r="B81" i="6"/>
  <c r="C80" i="6"/>
  <c r="B80" i="6"/>
  <c r="C79" i="6"/>
  <c r="B79" i="6"/>
  <c r="B71" i="6"/>
  <c r="A71" i="6"/>
  <c r="B70" i="6"/>
  <c r="A70" i="6"/>
  <c r="B69" i="6"/>
  <c r="A69" i="6"/>
  <c r="B68" i="6"/>
  <c r="A68" i="6"/>
  <c r="B67" i="6"/>
  <c r="A67" i="6"/>
  <c r="B66" i="6"/>
  <c r="A66" i="6"/>
  <c r="B65" i="6"/>
  <c r="A65" i="6"/>
  <c r="B64" i="6"/>
  <c r="A64" i="6"/>
  <c r="B63" i="6"/>
  <c r="A63" i="6"/>
  <c r="B62" i="6"/>
  <c r="A62" i="6"/>
  <c r="B61" i="6"/>
  <c r="A61" i="6"/>
  <c r="B60" i="6"/>
  <c r="A60" i="6"/>
  <c r="C56" i="6"/>
  <c r="A56" i="6"/>
  <c r="C55" i="6"/>
  <c r="A55" i="6"/>
  <c r="C54" i="6"/>
  <c r="A54" i="6"/>
  <c r="C53" i="6"/>
  <c r="A53" i="6"/>
  <c r="G52" i="6"/>
  <c r="C52" i="6"/>
  <c r="A52" i="6"/>
  <c r="C51" i="6"/>
  <c r="A51" i="6"/>
  <c r="C50" i="6"/>
  <c r="A50" i="6"/>
  <c r="C49" i="6"/>
  <c r="A49" i="6"/>
  <c r="C48" i="6"/>
  <c r="A48" i="6"/>
  <c r="C47" i="6"/>
  <c r="A47" i="6"/>
  <c r="C46" i="6"/>
  <c r="A46" i="6"/>
  <c r="C45" i="6"/>
  <c r="A45" i="6"/>
  <c r="B26" i="6"/>
  <c r="C14" i="6"/>
  <c r="C13" i="6"/>
  <c r="D12" i="6"/>
  <c r="B12" i="6"/>
  <c r="C10" i="6"/>
  <c r="J6" i="6"/>
  <c r="H6" i="6"/>
  <c r="F6" i="6"/>
  <c r="D6" i="6"/>
  <c r="B6" i="6"/>
  <c r="C111" i="5"/>
  <c r="C110" i="5"/>
  <c r="I98" i="5"/>
  <c r="C98" i="5"/>
  <c r="B98" i="5"/>
  <c r="I97" i="5"/>
  <c r="C97" i="5"/>
  <c r="B97" i="5"/>
  <c r="I96" i="5"/>
  <c r="C96" i="5"/>
  <c r="B96" i="5"/>
  <c r="I95" i="5"/>
  <c r="C95" i="5"/>
  <c r="B95" i="5"/>
  <c r="I94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B84" i="5"/>
  <c r="B83" i="5"/>
  <c r="B82" i="5"/>
  <c r="B81" i="5"/>
  <c r="B80" i="5"/>
  <c r="B79" i="5"/>
  <c r="B71" i="5"/>
  <c r="A71" i="5"/>
  <c r="B70" i="5"/>
  <c r="A70" i="5"/>
  <c r="B69" i="5"/>
  <c r="A69" i="5"/>
  <c r="B68" i="5"/>
  <c r="A68" i="5"/>
  <c r="B67" i="5"/>
  <c r="A67" i="5"/>
  <c r="B66" i="5"/>
  <c r="A66" i="5"/>
  <c r="B65" i="5"/>
  <c r="A65" i="5"/>
  <c r="B64" i="5"/>
  <c r="A64" i="5"/>
  <c r="B63" i="5"/>
  <c r="A63" i="5"/>
  <c r="B62" i="5"/>
  <c r="A62" i="5"/>
  <c r="B61" i="5"/>
  <c r="A61" i="5"/>
  <c r="B60" i="5"/>
  <c r="A60" i="5"/>
  <c r="C56" i="5"/>
  <c r="A56" i="5"/>
  <c r="C55" i="5"/>
  <c r="A55" i="5"/>
  <c r="C54" i="5"/>
  <c r="A54" i="5"/>
  <c r="C53" i="5"/>
  <c r="A53" i="5"/>
  <c r="C52" i="5"/>
  <c r="A52" i="5"/>
  <c r="C51" i="5"/>
  <c r="A51" i="5"/>
  <c r="C50" i="5"/>
  <c r="A50" i="5"/>
  <c r="C49" i="5"/>
  <c r="A49" i="5"/>
  <c r="C48" i="5"/>
  <c r="A48" i="5"/>
  <c r="C47" i="5"/>
  <c r="A47" i="5"/>
  <c r="C46" i="5"/>
  <c r="A46" i="5"/>
  <c r="C45" i="5"/>
  <c r="A45" i="5"/>
  <c r="B26" i="5"/>
  <c r="C13" i="5"/>
  <c r="D12" i="5"/>
  <c r="B12" i="5"/>
  <c r="C10" i="5"/>
  <c r="J6" i="5"/>
  <c r="H6" i="5"/>
  <c r="F6" i="5"/>
  <c r="D6" i="5"/>
  <c r="B6" i="5"/>
  <c r="C111" i="4"/>
  <c r="C110" i="4"/>
  <c r="I98" i="4"/>
  <c r="C98" i="4"/>
  <c r="B98" i="4"/>
  <c r="I97" i="4"/>
  <c r="C97" i="4"/>
  <c r="B97" i="4"/>
  <c r="I96" i="4"/>
  <c r="C96" i="4"/>
  <c r="B96" i="4"/>
  <c r="I95" i="4"/>
  <c r="C95" i="4"/>
  <c r="B95" i="4"/>
  <c r="I94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2" i="4"/>
  <c r="C81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C56" i="4"/>
  <c r="A56" i="4"/>
  <c r="C55" i="4"/>
  <c r="A55" i="4"/>
  <c r="C54" i="4"/>
  <c r="A54" i="4"/>
  <c r="C53" i="4"/>
  <c r="A53" i="4"/>
  <c r="C52" i="4"/>
  <c r="A52" i="4"/>
  <c r="C51" i="4"/>
  <c r="A51" i="4"/>
  <c r="C50" i="4"/>
  <c r="A50" i="4"/>
  <c r="C49" i="4"/>
  <c r="A49" i="4"/>
  <c r="C48" i="4"/>
  <c r="A48" i="4"/>
  <c r="C47" i="4"/>
  <c r="A47" i="4"/>
  <c r="C46" i="4"/>
  <c r="A46" i="4"/>
  <c r="C45" i="4"/>
  <c r="A45" i="4"/>
  <c r="B26" i="4"/>
  <c r="C13" i="4"/>
  <c r="D12" i="4"/>
  <c r="B12" i="4"/>
  <c r="C10" i="4"/>
  <c r="J6" i="4"/>
  <c r="H6" i="4"/>
  <c r="F6" i="4"/>
  <c r="D6" i="4"/>
  <c r="B6" i="4"/>
  <c r="C111" i="3"/>
  <c r="C110" i="3"/>
  <c r="I98" i="3"/>
  <c r="C98" i="3"/>
  <c r="B98" i="3"/>
  <c r="I97" i="3"/>
  <c r="C97" i="3"/>
  <c r="B97" i="3"/>
  <c r="I96" i="3"/>
  <c r="C96" i="3"/>
  <c r="B96" i="3"/>
  <c r="I95" i="3"/>
  <c r="C95" i="3"/>
  <c r="B95" i="3"/>
  <c r="I94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B84" i="3"/>
  <c r="B83" i="3"/>
  <c r="B82" i="3"/>
  <c r="B81" i="3"/>
  <c r="B80" i="3"/>
  <c r="B79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C56" i="3"/>
  <c r="A56" i="3"/>
  <c r="C55" i="3"/>
  <c r="A55" i="3"/>
  <c r="C54" i="3"/>
  <c r="A54" i="3"/>
  <c r="C53" i="3"/>
  <c r="A53" i="3"/>
  <c r="C52" i="3"/>
  <c r="A52" i="3"/>
  <c r="C51" i="3"/>
  <c r="A51" i="3"/>
  <c r="C50" i="3"/>
  <c r="A50" i="3"/>
  <c r="C49" i="3"/>
  <c r="A49" i="3"/>
  <c r="C48" i="3"/>
  <c r="A48" i="3"/>
  <c r="C47" i="3"/>
  <c r="A47" i="3"/>
  <c r="C46" i="3"/>
  <c r="A46" i="3"/>
  <c r="C45" i="3"/>
  <c r="A45" i="3"/>
  <c r="B26" i="3"/>
  <c r="C14" i="3"/>
  <c r="C13" i="3"/>
  <c r="D12" i="3"/>
  <c r="B12" i="3"/>
  <c r="C10" i="3"/>
  <c r="J6" i="3"/>
  <c r="H6" i="3"/>
  <c r="F6" i="3"/>
  <c r="D6" i="3"/>
  <c r="B6" i="3"/>
  <c r="H34" i="2"/>
  <c r="D34" i="2"/>
  <c r="B34" i="2"/>
  <c r="B19" i="1"/>
  <c r="I18" i="1"/>
  <c r="I17" i="1"/>
  <c r="I16" i="1"/>
  <c r="I15" i="1"/>
  <c r="I14" i="1"/>
  <c r="I13" i="1"/>
  <c r="C6" i="1"/>
  <c r="H70" i="6" l="1"/>
  <c r="H67" i="6"/>
  <c r="H64" i="6"/>
  <c r="H60" i="6"/>
  <c r="H70" i="5"/>
  <c r="H67" i="5"/>
  <c r="H69" i="6"/>
  <c r="H68" i="6"/>
  <c r="H65" i="6"/>
  <c r="H62" i="6"/>
  <c r="H68" i="5"/>
  <c r="H65" i="5"/>
  <c r="H71" i="6"/>
  <c r="H66" i="6"/>
  <c r="H63" i="6"/>
  <c r="H61" i="6"/>
  <c r="H69" i="5"/>
  <c r="H66" i="5"/>
  <c r="H64" i="5"/>
  <c r="M56" i="6"/>
  <c r="J56" i="6"/>
  <c r="M55" i="6"/>
  <c r="J55" i="6"/>
  <c r="M54" i="6"/>
  <c r="J54" i="6"/>
  <c r="M53" i="6"/>
  <c r="J53" i="6"/>
  <c r="M52" i="6"/>
  <c r="J52" i="6"/>
  <c r="B56" i="6"/>
  <c r="B55" i="6"/>
  <c r="B54" i="6"/>
  <c r="B53" i="6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84" i="8"/>
  <c r="H65" i="7"/>
  <c r="H63" i="7"/>
  <c r="M56" i="7"/>
  <c r="J56" i="7"/>
  <c r="J54" i="7"/>
  <c r="G54" i="7"/>
  <c r="B54" i="7"/>
  <c r="J53" i="7"/>
  <c r="G53" i="7"/>
  <c r="B53" i="7"/>
  <c r="M52" i="7"/>
  <c r="J52" i="7"/>
  <c r="G52" i="7"/>
  <c r="B52" i="7"/>
  <c r="M51" i="7"/>
  <c r="G51" i="7"/>
  <c r="M50" i="7"/>
  <c r="B50" i="7"/>
  <c r="M49" i="7"/>
  <c r="J49" i="7"/>
  <c r="G49" i="7"/>
  <c r="B48" i="7"/>
  <c r="J47" i="7"/>
  <c r="G47" i="7"/>
  <c r="B47" i="7"/>
  <c r="M46" i="7"/>
  <c r="J46" i="7"/>
  <c r="G46" i="7"/>
  <c r="J45" i="7"/>
  <c r="G45" i="7"/>
  <c r="D25" i="7"/>
  <c r="D15" i="7"/>
  <c r="C12" i="7"/>
  <c r="C68" i="6"/>
  <c r="G56" i="6"/>
  <c r="G54" i="6"/>
  <c r="D53" i="6"/>
  <c r="P52" i="6"/>
  <c r="C79" i="8"/>
  <c r="B72" i="8"/>
  <c r="H71" i="8"/>
  <c r="H70" i="8"/>
  <c r="H69" i="8"/>
  <c r="H68" i="8"/>
  <c r="H67" i="8"/>
  <c r="H66" i="8"/>
  <c r="H65" i="8"/>
  <c r="H64" i="8"/>
  <c r="H63" i="8"/>
  <c r="H62" i="8"/>
  <c r="H61" i="8"/>
  <c r="H60" i="8"/>
  <c r="H72" i="8" s="1"/>
  <c r="M56" i="8"/>
  <c r="J56" i="8"/>
  <c r="G56" i="8"/>
  <c r="B56" i="8"/>
  <c r="M55" i="8"/>
  <c r="J55" i="8"/>
  <c r="G55" i="8"/>
  <c r="B55" i="8"/>
  <c r="M54" i="8"/>
  <c r="J54" i="8"/>
  <c r="G54" i="8"/>
  <c r="B54" i="8"/>
  <c r="M53" i="8"/>
  <c r="J53" i="8"/>
  <c r="G53" i="8"/>
  <c r="B53" i="8"/>
  <c r="M52" i="8"/>
  <c r="J52" i="8"/>
  <c r="G52" i="8"/>
  <c r="B52" i="8"/>
  <c r="M51" i="8"/>
  <c r="J51" i="8"/>
  <c r="G51" i="8"/>
  <c r="B51" i="8"/>
  <c r="M50" i="8"/>
  <c r="J50" i="8"/>
  <c r="G50" i="8"/>
  <c r="B50" i="8"/>
  <c r="M49" i="8"/>
  <c r="J49" i="8"/>
  <c r="G49" i="8"/>
  <c r="B49" i="8"/>
  <c r="M48" i="8"/>
  <c r="J48" i="8"/>
  <c r="G48" i="8"/>
  <c r="B48" i="8"/>
  <c r="M47" i="8"/>
  <c r="J47" i="8"/>
  <c r="G47" i="8"/>
  <c r="B47" i="8"/>
  <c r="M46" i="8"/>
  <c r="J46" i="8"/>
  <c r="G46" i="8"/>
  <c r="B46" i="8"/>
  <c r="M45" i="8"/>
  <c r="J45" i="8"/>
  <c r="G45" i="8"/>
  <c r="B45" i="8"/>
  <c r="D25" i="8"/>
  <c r="B25" i="8"/>
  <c r="D26" i="8" s="1"/>
  <c r="D15" i="8"/>
  <c r="B15" i="8"/>
  <c r="C12" i="8"/>
  <c r="H68" i="7"/>
  <c r="H67" i="7"/>
  <c r="H66" i="7"/>
  <c r="H64" i="7"/>
  <c r="H61" i="7"/>
  <c r="H60" i="7"/>
  <c r="G56" i="7"/>
  <c r="B56" i="7"/>
  <c r="M55" i="7"/>
  <c r="J55" i="7"/>
  <c r="G55" i="7"/>
  <c r="M54" i="7"/>
  <c r="M53" i="7"/>
  <c r="J51" i="7"/>
  <c r="B51" i="7"/>
  <c r="J50" i="7"/>
  <c r="G50" i="7"/>
  <c r="B49" i="7"/>
  <c r="M48" i="7"/>
  <c r="J48" i="7"/>
  <c r="G48" i="7"/>
  <c r="M47" i="7"/>
  <c r="B46" i="7"/>
  <c r="M45" i="7"/>
  <c r="B45" i="7"/>
  <c r="B25" i="7"/>
  <c r="D26" i="7" s="1"/>
  <c r="B15" i="7"/>
  <c r="H72" i="6"/>
  <c r="B72" i="6"/>
  <c r="G55" i="6"/>
  <c r="D55" i="6"/>
  <c r="D54" i="6"/>
  <c r="C84" i="7"/>
  <c r="C83" i="7"/>
  <c r="C82" i="7"/>
  <c r="C81" i="7"/>
  <c r="C80" i="7"/>
  <c r="C79" i="7"/>
  <c r="L78" i="7"/>
  <c r="H78" i="7"/>
  <c r="B72" i="7"/>
  <c r="H71" i="7"/>
  <c r="H70" i="7"/>
  <c r="H69" i="7"/>
  <c r="H62" i="7"/>
  <c r="B55" i="7"/>
  <c r="G53" i="6"/>
  <c r="B52" i="6"/>
  <c r="M51" i="6"/>
  <c r="J51" i="6"/>
  <c r="G51" i="6"/>
  <c r="B51" i="6"/>
  <c r="M50" i="6"/>
  <c r="J50" i="6"/>
  <c r="G50" i="6"/>
  <c r="B50" i="6"/>
  <c r="M49" i="6"/>
  <c r="J49" i="6"/>
  <c r="G49" i="6"/>
  <c r="B49" i="6"/>
  <c r="M48" i="6"/>
  <c r="J48" i="6"/>
  <c r="G48" i="6"/>
  <c r="B48" i="6"/>
  <c r="M47" i="6"/>
  <c r="J47" i="6"/>
  <c r="G47" i="6"/>
  <c r="B47" i="6"/>
  <c r="M46" i="6"/>
  <c r="J46" i="6"/>
  <c r="G46" i="6"/>
  <c r="B46" i="6"/>
  <c r="M45" i="6"/>
  <c r="J45" i="6"/>
  <c r="G45" i="6"/>
  <c r="B45" i="6"/>
  <c r="D25" i="6"/>
  <c r="B25" i="6"/>
  <c r="D15" i="6"/>
  <c r="B15" i="6"/>
  <c r="C12" i="6"/>
  <c r="C84" i="5"/>
  <c r="C83" i="5"/>
  <c r="C82" i="5"/>
  <c r="C81" i="5"/>
  <c r="C80" i="5"/>
  <c r="C79" i="5"/>
  <c r="B72" i="5"/>
  <c r="H71" i="5"/>
  <c r="C84" i="4"/>
  <c r="C83" i="4"/>
  <c r="D25" i="3"/>
  <c r="B25" i="3"/>
  <c r="D26" i="3" s="1"/>
  <c r="C12" i="3"/>
  <c r="H63" i="5"/>
  <c r="H62" i="5"/>
  <c r="H61" i="5"/>
  <c r="H60" i="5"/>
  <c r="H72" i="5" s="1"/>
  <c r="M56" i="5"/>
  <c r="J56" i="5"/>
  <c r="G56" i="5"/>
  <c r="B56" i="5"/>
  <c r="M55" i="5"/>
  <c r="J55" i="5"/>
  <c r="G55" i="5"/>
  <c r="B55" i="5"/>
  <c r="M54" i="5"/>
  <c r="J54" i="5"/>
  <c r="G54" i="5"/>
  <c r="B54" i="5"/>
  <c r="M53" i="5"/>
  <c r="J53" i="5"/>
  <c r="G53" i="5"/>
  <c r="B53" i="5"/>
  <c r="M52" i="5"/>
  <c r="J52" i="5"/>
  <c r="G52" i="5"/>
  <c r="B52" i="5"/>
  <c r="M51" i="5"/>
  <c r="J51" i="5"/>
  <c r="G51" i="5"/>
  <c r="B51" i="5"/>
  <c r="M50" i="5"/>
  <c r="J50" i="5"/>
  <c r="G50" i="5"/>
  <c r="B50" i="5"/>
  <c r="M49" i="5"/>
  <c r="J49" i="5"/>
  <c r="G49" i="5"/>
  <c r="B49" i="5"/>
  <c r="M48" i="5"/>
  <c r="J48" i="5"/>
  <c r="G48" i="5"/>
  <c r="B48" i="5"/>
  <c r="M47" i="5"/>
  <c r="J47" i="5"/>
  <c r="G47" i="5"/>
  <c r="B47" i="5"/>
  <c r="M46" i="5"/>
  <c r="J46" i="5"/>
  <c r="G46" i="5"/>
  <c r="B46" i="5"/>
  <c r="M45" i="5"/>
  <c r="J45" i="5"/>
  <c r="G45" i="5"/>
  <c r="B45" i="5"/>
  <c r="D25" i="5"/>
  <c r="B25" i="5"/>
  <c r="D26" i="5" s="1"/>
  <c r="C12" i="5"/>
  <c r="C80" i="4"/>
  <c r="C79" i="4"/>
  <c r="B72" i="4"/>
  <c r="H71" i="4"/>
  <c r="H70" i="4"/>
  <c r="H69" i="4"/>
  <c r="H68" i="4"/>
  <c r="H67" i="4"/>
  <c r="H66" i="4"/>
  <c r="H65" i="4"/>
  <c r="H64" i="4"/>
  <c r="H63" i="4"/>
  <c r="H62" i="4"/>
  <c r="H61" i="4"/>
  <c r="H60" i="4"/>
  <c r="M56" i="4"/>
  <c r="J56" i="4"/>
  <c r="G56" i="4"/>
  <c r="B56" i="4"/>
  <c r="M55" i="4"/>
  <c r="J55" i="4"/>
  <c r="G55" i="4"/>
  <c r="B55" i="4"/>
  <c r="M54" i="4"/>
  <c r="J54" i="4"/>
  <c r="G54" i="4"/>
  <c r="B54" i="4"/>
  <c r="M53" i="4"/>
  <c r="J53" i="4"/>
  <c r="G53" i="4"/>
  <c r="B53" i="4"/>
  <c r="M52" i="4"/>
  <c r="J52" i="4"/>
  <c r="G52" i="4"/>
  <c r="B52" i="4"/>
  <c r="M51" i="4"/>
  <c r="J51" i="4"/>
  <c r="G51" i="4"/>
  <c r="B51" i="4"/>
  <c r="M50" i="4"/>
  <c r="J50" i="4"/>
  <c r="G50" i="4"/>
  <c r="B50" i="4"/>
  <c r="M49" i="4"/>
  <c r="J49" i="4"/>
  <c r="G49" i="4"/>
  <c r="B49" i="4"/>
  <c r="M48" i="4"/>
  <c r="J48" i="4"/>
  <c r="G48" i="4"/>
  <c r="B48" i="4"/>
  <c r="M47" i="4"/>
  <c r="J47" i="4"/>
  <c r="G47" i="4"/>
  <c r="B47" i="4"/>
  <c r="M46" i="4"/>
  <c r="J46" i="4"/>
  <c r="G46" i="4"/>
  <c r="B46" i="4"/>
  <c r="M45" i="4"/>
  <c r="J45" i="4"/>
  <c r="G45" i="4"/>
  <c r="B45" i="4"/>
  <c r="D25" i="4"/>
  <c r="B25" i="4"/>
  <c r="D26" i="4" s="1"/>
  <c r="C12" i="4"/>
  <c r="C84" i="3"/>
  <c r="C83" i="3"/>
  <c r="C82" i="3"/>
  <c r="C81" i="3"/>
  <c r="C80" i="3"/>
  <c r="C79" i="3"/>
  <c r="B72" i="3"/>
  <c r="H71" i="3"/>
  <c r="H70" i="3"/>
  <c r="H69" i="3"/>
  <c r="H68" i="3"/>
  <c r="H67" i="3"/>
  <c r="H66" i="3"/>
  <c r="H65" i="3"/>
  <c r="H64" i="3"/>
  <c r="H63" i="3"/>
  <c r="H62" i="3"/>
  <c r="H61" i="3"/>
  <c r="H60" i="3"/>
  <c r="H72" i="3" s="1"/>
  <c r="M56" i="3"/>
  <c r="J56" i="3"/>
  <c r="G56" i="3"/>
  <c r="B56" i="3"/>
  <c r="M55" i="3"/>
  <c r="J55" i="3"/>
  <c r="G55" i="3"/>
  <c r="B55" i="3"/>
  <c r="M54" i="3"/>
  <c r="J54" i="3"/>
  <c r="G54" i="3"/>
  <c r="B54" i="3"/>
  <c r="M53" i="3"/>
  <c r="J53" i="3"/>
  <c r="G53" i="3"/>
  <c r="B53" i="3"/>
  <c r="M52" i="3"/>
  <c r="J52" i="3"/>
  <c r="G52" i="3"/>
  <c r="B52" i="3"/>
  <c r="M51" i="3"/>
  <c r="J51" i="3"/>
  <c r="G51" i="3"/>
  <c r="B51" i="3"/>
  <c r="M50" i="3"/>
  <c r="J50" i="3"/>
  <c r="G50" i="3"/>
  <c r="B50" i="3"/>
  <c r="M49" i="3"/>
  <c r="J49" i="3"/>
  <c r="G49" i="3"/>
  <c r="B49" i="3"/>
  <c r="M48" i="3"/>
  <c r="J48" i="3"/>
  <c r="G48" i="3"/>
  <c r="B48" i="3"/>
  <c r="M47" i="3"/>
  <c r="J47" i="3"/>
  <c r="G47" i="3"/>
  <c r="B47" i="3"/>
  <c r="M46" i="3"/>
  <c r="J46" i="3"/>
  <c r="G46" i="3"/>
  <c r="B46" i="3"/>
  <c r="M45" i="3"/>
  <c r="J45" i="3"/>
  <c r="G45" i="3"/>
  <c r="B45" i="3"/>
  <c r="L78" i="3" l="1"/>
  <c r="H78" i="3"/>
  <c r="D69" i="6"/>
  <c r="N53" i="6"/>
  <c r="D71" i="6"/>
  <c r="D70" i="6"/>
  <c r="D68" i="6"/>
  <c r="N56" i="6"/>
  <c r="N55" i="6"/>
  <c r="N52" i="6"/>
  <c r="D67" i="6"/>
  <c r="N54" i="6"/>
  <c r="C69" i="6"/>
  <c r="C70" i="6"/>
  <c r="C71" i="6"/>
  <c r="D56" i="6"/>
  <c r="D71" i="7"/>
  <c r="N56" i="7"/>
  <c r="P54" i="7"/>
  <c r="D54" i="7"/>
  <c r="C69" i="7"/>
  <c r="P53" i="7"/>
  <c r="D53" i="7"/>
  <c r="C68" i="7"/>
  <c r="N52" i="7"/>
  <c r="D67" i="7"/>
  <c r="P52" i="7"/>
  <c r="C67" i="7"/>
  <c r="D52" i="7"/>
  <c r="N51" i="7"/>
  <c r="D66" i="7"/>
  <c r="P51" i="7"/>
  <c r="N50" i="7"/>
  <c r="D65" i="7"/>
  <c r="D50" i="7"/>
  <c r="C65" i="7"/>
  <c r="N49" i="7"/>
  <c r="D64" i="7"/>
  <c r="P49" i="7"/>
  <c r="D48" i="7"/>
  <c r="C63" i="7"/>
  <c r="P47" i="7"/>
  <c r="D47" i="7"/>
  <c r="C62" i="7"/>
  <c r="N46" i="7"/>
  <c r="D61" i="7"/>
  <c r="P46" i="7"/>
  <c r="P45" i="7"/>
  <c r="P56" i="6"/>
  <c r="P54" i="6"/>
  <c r="E53" i="6"/>
  <c r="F53" i="6"/>
  <c r="I76" i="8"/>
  <c r="B19" i="8"/>
  <c r="N56" i="8"/>
  <c r="D71" i="8"/>
  <c r="P56" i="8"/>
  <c r="D56" i="8"/>
  <c r="C71" i="8"/>
  <c r="N55" i="8"/>
  <c r="D70" i="8"/>
  <c r="P55" i="8"/>
  <c r="D55" i="8"/>
  <c r="C70" i="8"/>
  <c r="N54" i="8"/>
  <c r="D69" i="8"/>
  <c r="P54" i="8"/>
  <c r="D54" i="8"/>
  <c r="C69" i="8"/>
  <c r="N53" i="8"/>
  <c r="D68" i="8"/>
  <c r="P53" i="8"/>
  <c r="D53" i="8"/>
  <c r="C68" i="8"/>
  <c r="N52" i="8"/>
  <c r="D67" i="8"/>
  <c r="P52" i="8"/>
  <c r="D52" i="8"/>
  <c r="C67" i="8"/>
  <c r="N51" i="8"/>
  <c r="D66" i="8"/>
  <c r="P51" i="8"/>
  <c r="D51" i="8"/>
  <c r="C66" i="8"/>
  <c r="N50" i="8"/>
  <c r="D65" i="8"/>
  <c r="P50" i="8"/>
  <c r="D50" i="8"/>
  <c r="C65" i="8"/>
  <c r="N49" i="8"/>
  <c r="D64" i="8"/>
  <c r="P49" i="8"/>
  <c r="D49" i="8"/>
  <c r="C64" i="8"/>
  <c r="N48" i="8"/>
  <c r="D63" i="8"/>
  <c r="P48" i="8"/>
  <c r="D48" i="8"/>
  <c r="C63" i="8"/>
  <c r="N47" i="8"/>
  <c r="D62" i="8"/>
  <c r="P47" i="8"/>
  <c r="D47" i="8"/>
  <c r="C62" i="8"/>
  <c r="N46" i="8"/>
  <c r="D61" i="8"/>
  <c r="P46" i="8"/>
  <c r="D46" i="8"/>
  <c r="C61" i="8"/>
  <c r="N45" i="8"/>
  <c r="D60" i="8"/>
  <c r="P45" i="8"/>
  <c r="D45" i="8"/>
  <c r="C60" i="8"/>
  <c r="P56" i="7"/>
  <c r="D56" i="7"/>
  <c r="C71" i="7"/>
  <c r="N55" i="7"/>
  <c r="D70" i="7"/>
  <c r="P55" i="7"/>
  <c r="N54" i="7"/>
  <c r="D69" i="7"/>
  <c r="N53" i="7"/>
  <c r="D68" i="7"/>
  <c r="D51" i="7"/>
  <c r="C66" i="7"/>
  <c r="P50" i="7"/>
  <c r="D49" i="7"/>
  <c r="C64" i="7"/>
  <c r="D63" i="7"/>
  <c r="N48" i="7"/>
  <c r="P48" i="7"/>
  <c r="N47" i="7"/>
  <c r="D62" i="7"/>
  <c r="D46" i="7"/>
  <c r="C61" i="7"/>
  <c r="N45" i="7"/>
  <c r="D60" i="7"/>
  <c r="D45" i="7"/>
  <c r="C60" i="7"/>
  <c r="I76" i="6"/>
  <c r="B19" i="6"/>
  <c r="P55" i="6"/>
  <c r="E55" i="6"/>
  <c r="F55" i="6"/>
  <c r="F54" i="6"/>
  <c r="E54" i="6"/>
  <c r="C70" i="7"/>
  <c r="D55" i="7"/>
  <c r="P53" i="6"/>
  <c r="D52" i="6"/>
  <c r="C67" i="6"/>
  <c r="N51" i="6"/>
  <c r="D66" i="6"/>
  <c r="P51" i="6"/>
  <c r="D51" i="6"/>
  <c r="C66" i="6"/>
  <c r="N50" i="6"/>
  <c r="D65" i="6"/>
  <c r="P50" i="6"/>
  <c r="D50" i="6"/>
  <c r="C65" i="6"/>
  <c r="N49" i="6"/>
  <c r="D64" i="6"/>
  <c r="P49" i="6"/>
  <c r="D49" i="6"/>
  <c r="C64" i="6"/>
  <c r="N48" i="6"/>
  <c r="D63" i="6"/>
  <c r="P48" i="6"/>
  <c r="D48" i="6"/>
  <c r="C63" i="6"/>
  <c r="N47" i="6"/>
  <c r="D62" i="6"/>
  <c r="P47" i="6"/>
  <c r="D47" i="6"/>
  <c r="C62" i="6"/>
  <c r="N46" i="6"/>
  <c r="D61" i="6"/>
  <c r="P46" i="6"/>
  <c r="D46" i="6"/>
  <c r="C61" i="6"/>
  <c r="N45" i="6"/>
  <c r="D60" i="6"/>
  <c r="P45" i="6"/>
  <c r="D45" i="6"/>
  <c r="C60" i="6"/>
  <c r="D26" i="6"/>
  <c r="L78" i="6"/>
  <c r="B106" i="6"/>
  <c r="H78" i="6"/>
  <c r="I76" i="5"/>
  <c r="B19" i="5"/>
  <c r="N56" i="5"/>
  <c r="D71" i="5"/>
  <c r="P56" i="5"/>
  <c r="D56" i="5"/>
  <c r="C71" i="5"/>
  <c r="N55" i="5"/>
  <c r="D70" i="5"/>
  <c r="P55" i="5"/>
  <c r="D55" i="5"/>
  <c r="C70" i="5"/>
  <c r="N54" i="5"/>
  <c r="D69" i="5"/>
  <c r="P54" i="5"/>
  <c r="D54" i="5"/>
  <c r="C69" i="5"/>
  <c r="N53" i="5"/>
  <c r="D68" i="5"/>
  <c r="P53" i="5"/>
  <c r="D53" i="5"/>
  <c r="C68" i="5"/>
  <c r="N52" i="5"/>
  <c r="D67" i="5"/>
  <c r="P52" i="5"/>
  <c r="D52" i="5"/>
  <c r="C67" i="5"/>
  <c r="N51" i="5"/>
  <c r="D66" i="5"/>
  <c r="P51" i="5"/>
  <c r="D51" i="5"/>
  <c r="C66" i="5"/>
  <c r="N50" i="5"/>
  <c r="D65" i="5"/>
  <c r="P50" i="5"/>
  <c r="D50" i="5"/>
  <c r="C65" i="5"/>
  <c r="N49" i="5"/>
  <c r="D64" i="5"/>
  <c r="P49" i="5"/>
  <c r="D49" i="5"/>
  <c r="C64" i="5"/>
  <c r="N48" i="5"/>
  <c r="D63" i="5"/>
  <c r="P48" i="5"/>
  <c r="D48" i="5"/>
  <c r="C63" i="5"/>
  <c r="N47" i="5"/>
  <c r="D62" i="5"/>
  <c r="P47" i="5"/>
  <c r="D47" i="5"/>
  <c r="C62" i="5"/>
  <c r="N46" i="5"/>
  <c r="D61" i="5"/>
  <c r="P46" i="5"/>
  <c r="D46" i="5"/>
  <c r="C61" i="5"/>
  <c r="N45" i="5"/>
  <c r="D60" i="5"/>
  <c r="P45" i="5"/>
  <c r="D45" i="5"/>
  <c r="C60" i="5"/>
  <c r="C72" i="5" s="1"/>
  <c r="N56" i="4"/>
  <c r="D71" i="4"/>
  <c r="P56" i="4"/>
  <c r="D56" i="4"/>
  <c r="C71" i="4"/>
  <c r="N55" i="4"/>
  <c r="D70" i="4"/>
  <c r="P55" i="4"/>
  <c r="D55" i="4"/>
  <c r="C70" i="4"/>
  <c r="N54" i="4"/>
  <c r="D69" i="4"/>
  <c r="P54" i="4"/>
  <c r="D54" i="4"/>
  <c r="C69" i="4"/>
  <c r="N53" i="4"/>
  <c r="D68" i="4"/>
  <c r="P53" i="4"/>
  <c r="D53" i="4"/>
  <c r="C68" i="4"/>
  <c r="N52" i="4"/>
  <c r="D67" i="4"/>
  <c r="P52" i="4"/>
  <c r="D52" i="4"/>
  <c r="C67" i="4"/>
  <c r="N51" i="4"/>
  <c r="D66" i="4"/>
  <c r="P51" i="4"/>
  <c r="D51" i="4"/>
  <c r="C66" i="4"/>
  <c r="N50" i="4"/>
  <c r="D65" i="4"/>
  <c r="P50" i="4"/>
  <c r="D50" i="4"/>
  <c r="C65" i="4"/>
  <c r="N49" i="4"/>
  <c r="D64" i="4"/>
  <c r="P49" i="4"/>
  <c r="D49" i="4"/>
  <c r="C64" i="4"/>
  <c r="N48" i="4"/>
  <c r="D63" i="4"/>
  <c r="P48" i="4"/>
  <c r="D48" i="4"/>
  <c r="C63" i="4"/>
  <c r="N47" i="4"/>
  <c r="D62" i="4"/>
  <c r="P47" i="4"/>
  <c r="D47" i="4"/>
  <c r="C62" i="4"/>
  <c r="N46" i="4"/>
  <c r="D61" i="4"/>
  <c r="P46" i="4"/>
  <c r="D46" i="4"/>
  <c r="C61" i="4"/>
  <c r="N45" i="4"/>
  <c r="D60" i="4"/>
  <c r="D72" i="4" s="1"/>
  <c r="P45" i="4"/>
  <c r="D45" i="4"/>
  <c r="C60" i="4"/>
  <c r="C72" i="4" s="1"/>
  <c r="C10" i="10"/>
  <c r="C9" i="10"/>
  <c r="C8" i="10"/>
  <c r="C7" i="10"/>
  <c r="C6" i="10"/>
  <c r="C5" i="10"/>
  <c r="A6" i="1" s="1"/>
  <c r="I76" i="3"/>
  <c r="B19" i="3"/>
  <c r="N56" i="3"/>
  <c r="D71" i="3"/>
  <c r="P56" i="3"/>
  <c r="D56" i="3"/>
  <c r="C71" i="3"/>
  <c r="N55" i="3"/>
  <c r="D70" i="3"/>
  <c r="P55" i="3"/>
  <c r="D55" i="3"/>
  <c r="C70" i="3"/>
  <c r="N54" i="3"/>
  <c r="D69" i="3"/>
  <c r="P54" i="3"/>
  <c r="D54" i="3"/>
  <c r="C69" i="3"/>
  <c r="N53" i="3"/>
  <c r="D68" i="3"/>
  <c r="P53" i="3"/>
  <c r="D53" i="3"/>
  <c r="C68" i="3"/>
  <c r="N52" i="3"/>
  <c r="D67" i="3"/>
  <c r="P52" i="3"/>
  <c r="D52" i="3"/>
  <c r="C67" i="3"/>
  <c r="N51" i="3"/>
  <c r="D66" i="3"/>
  <c r="P51" i="3"/>
  <c r="D51" i="3"/>
  <c r="C66" i="3"/>
  <c r="N50" i="3"/>
  <c r="D65" i="3"/>
  <c r="P50" i="3"/>
  <c r="D50" i="3"/>
  <c r="C65" i="3"/>
  <c r="N49" i="3"/>
  <c r="D64" i="3"/>
  <c r="P49" i="3"/>
  <c r="D49" i="3"/>
  <c r="C64" i="3"/>
  <c r="N48" i="3"/>
  <c r="D63" i="3"/>
  <c r="P48" i="3"/>
  <c r="D48" i="3"/>
  <c r="C63" i="3"/>
  <c r="N47" i="3"/>
  <c r="D62" i="3"/>
  <c r="P47" i="3"/>
  <c r="D47" i="3"/>
  <c r="C62" i="3"/>
  <c r="N46" i="3"/>
  <c r="D61" i="3"/>
  <c r="P46" i="3"/>
  <c r="D46" i="3"/>
  <c r="C61" i="3"/>
  <c r="N45" i="3"/>
  <c r="D60" i="3"/>
  <c r="D72" i="3" s="1"/>
  <c r="P45" i="3"/>
  <c r="D45" i="3"/>
  <c r="C60" i="3"/>
  <c r="C72" i="3" s="1"/>
  <c r="H78" i="4"/>
  <c r="H72" i="4"/>
  <c r="B106" i="5"/>
  <c r="L78" i="5"/>
  <c r="H78" i="5"/>
  <c r="L78" i="8"/>
  <c r="H78" i="8"/>
  <c r="B106" i="7"/>
  <c r="B106" i="3"/>
  <c r="B106" i="4"/>
  <c r="L78" i="4"/>
  <c r="B106" i="8"/>
  <c r="H72" i="7"/>
  <c r="D72" i="5" l="1"/>
  <c r="F56" i="6"/>
  <c r="E56" i="6"/>
  <c r="E54" i="7"/>
  <c r="F54" i="7"/>
  <c r="E53" i="7"/>
  <c r="F53" i="7"/>
  <c r="F52" i="7"/>
  <c r="E52" i="7"/>
  <c r="E50" i="7"/>
  <c r="F50" i="7"/>
  <c r="F48" i="7"/>
  <c r="E48" i="7"/>
  <c r="E47" i="7"/>
  <c r="F47" i="7"/>
  <c r="L6" i="7"/>
  <c r="K53" i="6"/>
  <c r="H53" i="6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E56" i="8"/>
  <c r="F56" i="8"/>
  <c r="E55" i="8"/>
  <c r="F55" i="8"/>
  <c r="E54" i="8"/>
  <c r="F54" i="8"/>
  <c r="E53" i="8"/>
  <c r="F53" i="8"/>
  <c r="E52" i="8"/>
  <c r="F52" i="8"/>
  <c r="E51" i="8"/>
  <c r="F51" i="8"/>
  <c r="E50" i="8"/>
  <c r="F50" i="8"/>
  <c r="E49" i="8"/>
  <c r="F49" i="8"/>
  <c r="E48" i="8"/>
  <c r="F48" i="8"/>
  <c r="E47" i="8"/>
  <c r="F47" i="8"/>
  <c r="E46" i="8"/>
  <c r="F46" i="8"/>
  <c r="L6" i="8"/>
  <c r="E45" i="8"/>
  <c r="F45" i="8"/>
  <c r="E56" i="7"/>
  <c r="F56" i="7"/>
  <c r="F51" i="7"/>
  <c r="E51" i="7"/>
  <c r="F49" i="7"/>
  <c r="E49" i="7"/>
  <c r="E46" i="7"/>
  <c r="F46" i="7"/>
  <c r="F45" i="7"/>
  <c r="E45" i="7"/>
  <c r="F79" i="6"/>
  <c r="F80" i="6"/>
  <c r="F82" i="6"/>
  <c r="F84" i="6"/>
  <c r="F86" i="6"/>
  <c r="F88" i="6"/>
  <c r="F89" i="6"/>
  <c r="F91" i="6"/>
  <c r="F92" i="6"/>
  <c r="F96" i="6"/>
  <c r="F81" i="6"/>
  <c r="F93" i="6"/>
  <c r="F95" i="6"/>
  <c r="F97" i="6"/>
  <c r="F83" i="6"/>
  <c r="F85" i="6"/>
  <c r="F87" i="6"/>
  <c r="F90" i="6"/>
  <c r="F94" i="6"/>
  <c r="F98" i="6"/>
  <c r="H56" i="6"/>
  <c r="K55" i="6"/>
  <c r="H55" i="6"/>
  <c r="K54" i="6"/>
  <c r="H54" i="6"/>
  <c r="F55" i="7"/>
  <c r="E55" i="7"/>
  <c r="E52" i="6"/>
  <c r="F52" i="6"/>
  <c r="E51" i="6"/>
  <c r="F51" i="6"/>
  <c r="E50" i="6"/>
  <c r="F50" i="6"/>
  <c r="E49" i="6"/>
  <c r="F49" i="6"/>
  <c r="E48" i="6"/>
  <c r="F48" i="6"/>
  <c r="E47" i="6"/>
  <c r="F47" i="6"/>
  <c r="E46" i="6"/>
  <c r="F46" i="6"/>
  <c r="L6" i="6"/>
  <c r="E45" i="6"/>
  <c r="F45" i="6"/>
  <c r="C19" i="9"/>
  <c r="G16" i="1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E56" i="5"/>
  <c r="F56" i="5"/>
  <c r="E55" i="5"/>
  <c r="F55" i="5"/>
  <c r="E54" i="5"/>
  <c r="F54" i="5"/>
  <c r="E53" i="5"/>
  <c r="F53" i="5"/>
  <c r="E52" i="5"/>
  <c r="F52" i="5"/>
  <c r="E51" i="5"/>
  <c r="F51" i="5"/>
  <c r="E50" i="5"/>
  <c r="F50" i="5"/>
  <c r="E49" i="5"/>
  <c r="F49" i="5"/>
  <c r="E48" i="5"/>
  <c r="F48" i="5"/>
  <c r="E47" i="5"/>
  <c r="F47" i="5"/>
  <c r="E46" i="5"/>
  <c r="F46" i="5"/>
  <c r="L6" i="5"/>
  <c r="E45" i="5"/>
  <c r="F45" i="5"/>
  <c r="K76" i="5"/>
  <c r="D17" i="5"/>
  <c r="E56" i="4"/>
  <c r="F56" i="4"/>
  <c r="E55" i="4"/>
  <c r="F55" i="4"/>
  <c r="E54" i="4"/>
  <c r="F54" i="4"/>
  <c r="E53" i="4"/>
  <c r="F53" i="4"/>
  <c r="E52" i="4"/>
  <c r="F52" i="4"/>
  <c r="E51" i="4"/>
  <c r="F51" i="4"/>
  <c r="E50" i="4"/>
  <c r="F50" i="4"/>
  <c r="E49" i="4"/>
  <c r="F49" i="4"/>
  <c r="E48" i="4"/>
  <c r="F48" i="4"/>
  <c r="E47" i="4"/>
  <c r="F47" i="4"/>
  <c r="E46" i="4"/>
  <c r="F46" i="4"/>
  <c r="L6" i="4"/>
  <c r="E45" i="4"/>
  <c r="F45" i="4"/>
  <c r="K76" i="4"/>
  <c r="D17" i="4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8" i="3"/>
  <c r="F92" i="3"/>
  <c r="F93" i="3"/>
  <c r="F94" i="3"/>
  <c r="F95" i="3"/>
  <c r="F96" i="3"/>
  <c r="F97" i="3"/>
  <c r="E56" i="3"/>
  <c r="F56" i="3"/>
  <c r="E55" i="3"/>
  <c r="F55" i="3"/>
  <c r="E54" i="3"/>
  <c r="F54" i="3"/>
  <c r="E53" i="3"/>
  <c r="F53" i="3"/>
  <c r="E52" i="3"/>
  <c r="F52" i="3"/>
  <c r="E51" i="3"/>
  <c r="F51" i="3"/>
  <c r="E50" i="3"/>
  <c r="F50" i="3"/>
  <c r="E49" i="3"/>
  <c r="F49" i="3"/>
  <c r="E48" i="3"/>
  <c r="F48" i="3"/>
  <c r="E47" i="3"/>
  <c r="F47" i="3"/>
  <c r="E46" i="3"/>
  <c r="F46" i="3"/>
  <c r="L6" i="3"/>
  <c r="E45" i="3"/>
  <c r="F45" i="3"/>
  <c r="K76" i="3"/>
  <c r="D17" i="3"/>
  <c r="B19" i="4"/>
  <c r="I76" i="4"/>
  <c r="G15" i="1"/>
  <c r="C18" i="9"/>
  <c r="G17" i="1"/>
  <c r="C20" i="9"/>
  <c r="A9" i="1"/>
  <c r="G13" i="1"/>
  <c r="C16" i="9"/>
  <c r="G14" i="1"/>
  <c r="C17" i="9"/>
  <c r="G18" i="1"/>
  <c r="C21" i="9"/>
  <c r="I76" i="7"/>
  <c r="B19" i="7"/>
  <c r="D72" i="8"/>
  <c r="C72" i="8"/>
  <c r="D72" i="7"/>
  <c r="C72" i="7"/>
  <c r="D72" i="6"/>
  <c r="C72" i="6"/>
  <c r="K56" i="6" l="1"/>
  <c r="K54" i="7"/>
  <c r="H54" i="7"/>
  <c r="K53" i="7"/>
  <c r="H53" i="7"/>
  <c r="K52" i="7"/>
  <c r="H52" i="7"/>
  <c r="K50" i="7"/>
  <c r="H50" i="7"/>
  <c r="K48" i="7"/>
  <c r="H48" i="7"/>
  <c r="K47" i="7"/>
  <c r="H47" i="7"/>
  <c r="E61" i="7"/>
  <c r="E62" i="7"/>
  <c r="E64" i="7"/>
  <c r="E66" i="7"/>
  <c r="E67" i="7"/>
  <c r="E68" i="7"/>
  <c r="E69" i="7"/>
  <c r="E63" i="7"/>
  <c r="E65" i="7"/>
  <c r="E70" i="7"/>
  <c r="E71" i="7"/>
  <c r="I53" i="6"/>
  <c r="L53" i="6"/>
  <c r="G68" i="6" s="1"/>
  <c r="K56" i="8"/>
  <c r="H56" i="8"/>
  <c r="K55" i="8"/>
  <c r="H55" i="8"/>
  <c r="K54" i="8"/>
  <c r="H54" i="8"/>
  <c r="K53" i="8"/>
  <c r="H53" i="8"/>
  <c r="K52" i="8"/>
  <c r="H52" i="8"/>
  <c r="K51" i="8"/>
  <c r="H51" i="8"/>
  <c r="K50" i="8"/>
  <c r="H50" i="8"/>
  <c r="K49" i="8"/>
  <c r="H49" i="8"/>
  <c r="K48" i="8"/>
  <c r="H48" i="8"/>
  <c r="K47" i="8"/>
  <c r="H47" i="8"/>
  <c r="K46" i="8"/>
  <c r="H46" i="8"/>
  <c r="E65" i="8"/>
  <c r="E68" i="8"/>
  <c r="E66" i="8"/>
  <c r="E67" i="8"/>
  <c r="E69" i="8"/>
  <c r="E70" i="8"/>
  <c r="E71" i="8"/>
  <c r="E61" i="8"/>
  <c r="E62" i="8"/>
  <c r="E63" i="8"/>
  <c r="E64" i="8"/>
  <c r="K45" i="8"/>
  <c r="H45" i="8"/>
  <c r="K56" i="7"/>
  <c r="H56" i="7"/>
  <c r="K51" i="7"/>
  <c r="H51" i="7"/>
  <c r="K49" i="7"/>
  <c r="H49" i="7"/>
  <c r="K46" i="7"/>
  <c r="H46" i="7"/>
  <c r="K45" i="7"/>
  <c r="H45" i="7"/>
  <c r="I56" i="6"/>
  <c r="L56" i="6"/>
  <c r="G71" i="6" s="1"/>
  <c r="I55" i="6"/>
  <c r="L55" i="6"/>
  <c r="G70" i="6" s="1"/>
  <c r="I54" i="6"/>
  <c r="L54" i="6"/>
  <c r="G69" i="6" s="1"/>
  <c r="K55" i="7"/>
  <c r="H55" i="7"/>
  <c r="K52" i="6"/>
  <c r="H52" i="6"/>
  <c r="K51" i="6"/>
  <c r="H51" i="6"/>
  <c r="K50" i="6"/>
  <c r="H50" i="6"/>
  <c r="K49" i="6"/>
  <c r="H49" i="6"/>
  <c r="K48" i="6"/>
  <c r="H48" i="6"/>
  <c r="K47" i="6"/>
  <c r="H47" i="6"/>
  <c r="K46" i="6"/>
  <c r="H46" i="6"/>
  <c r="E71" i="6"/>
  <c r="E61" i="6"/>
  <c r="E62" i="6"/>
  <c r="E63" i="6"/>
  <c r="E69" i="6"/>
  <c r="E64" i="6"/>
  <c r="E65" i="6"/>
  <c r="E66" i="6"/>
  <c r="E68" i="6"/>
  <c r="E70" i="6"/>
  <c r="E67" i="6"/>
  <c r="K45" i="6"/>
  <c r="H45" i="6"/>
  <c r="K56" i="5"/>
  <c r="H56" i="5"/>
  <c r="K55" i="5"/>
  <c r="H55" i="5"/>
  <c r="K54" i="5"/>
  <c r="H54" i="5"/>
  <c r="K53" i="5"/>
  <c r="H53" i="5"/>
  <c r="K52" i="5"/>
  <c r="H52" i="5"/>
  <c r="K51" i="5"/>
  <c r="H51" i="5"/>
  <c r="K50" i="5"/>
  <c r="H50" i="5"/>
  <c r="K49" i="5"/>
  <c r="H49" i="5"/>
  <c r="K48" i="5"/>
  <c r="H48" i="5"/>
  <c r="K47" i="5"/>
  <c r="H47" i="5"/>
  <c r="K46" i="5"/>
  <c r="H46" i="5"/>
  <c r="E61" i="5"/>
  <c r="E62" i="5"/>
  <c r="E63" i="5"/>
  <c r="E64" i="5"/>
  <c r="E65" i="5"/>
  <c r="E66" i="5"/>
  <c r="E67" i="5"/>
  <c r="E68" i="5"/>
  <c r="E69" i="5"/>
  <c r="E70" i="5"/>
  <c r="E71" i="5"/>
  <c r="K45" i="5"/>
  <c r="H45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K56" i="4"/>
  <c r="H56" i="4"/>
  <c r="K55" i="4"/>
  <c r="H55" i="4"/>
  <c r="K54" i="4"/>
  <c r="H54" i="4"/>
  <c r="K53" i="4"/>
  <c r="H53" i="4"/>
  <c r="K52" i="4"/>
  <c r="H52" i="4"/>
  <c r="K51" i="4"/>
  <c r="H51" i="4"/>
  <c r="K50" i="4"/>
  <c r="H50" i="4"/>
  <c r="K49" i="4"/>
  <c r="H49" i="4"/>
  <c r="K48" i="4"/>
  <c r="H48" i="4"/>
  <c r="K47" i="4"/>
  <c r="H47" i="4"/>
  <c r="K46" i="4"/>
  <c r="H46" i="4"/>
  <c r="E61" i="4"/>
  <c r="E62" i="4"/>
  <c r="E63" i="4"/>
  <c r="E64" i="4"/>
  <c r="E65" i="4"/>
  <c r="E66" i="4"/>
  <c r="E67" i="4"/>
  <c r="E68" i="4"/>
  <c r="E69" i="4"/>
  <c r="E70" i="4"/>
  <c r="E71" i="4"/>
  <c r="K45" i="4"/>
  <c r="H45" i="4"/>
  <c r="I79" i="4"/>
  <c r="I80" i="4"/>
  <c r="I87" i="4"/>
  <c r="I88" i="4"/>
  <c r="I89" i="4"/>
  <c r="I90" i="4"/>
  <c r="I91" i="4"/>
  <c r="I92" i="4"/>
  <c r="I93" i="4"/>
  <c r="I81" i="4"/>
  <c r="I82" i="4"/>
  <c r="I83" i="4"/>
  <c r="I84" i="4"/>
  <c r="I85" i="4"/>
  <c r="I86" i="4"/>
  <c r="K56" i="3"/>
  <c r="H56" i="3"/>
  <c r="K55" i="3"/>
  <c r="H55" i="3"/>
  <c r="K54" i="3"/>
  <c r="H54" i="3"/>
  <c r="K53" i="3"/>
  <c r="H53" i="3"/>
  <c r="K52" i="3"/>
  <c r="H52" i="3"/>
  <c r="K51" i="3"/>
  <c r="H51" i="3"/>
  <c r="K50" i="3"/>
  <c r="H50" i="3"/>
  <c r="K49" i="3"/>
  <c r="H49" i="3"/>
  <c r="K48" i="3"/>
  <c r="H48" i="3"/>
  <c r="K47" i="3"/>
  <c r="H47" i="3"/>
  <c r="K46" i="3"/>
  <c r="H46" i="3"/>
  <c r="E61" i="3"/>
  <c r="E62" i="3"/>
  <c r="E63" i="3"/>
  <c r="E64" i="3"/>
  <c r="E65" i="3"/>
  <c r="E66" i="3"/>
  <c r="E67" i="3"/>
  <c r="E68" i="3"/>
  <c r="E69" i="3"/>
  <c r="E70" i="3"/>
  <c r="E71" i="3"/>
  <c r="K45" i="3"/>
  <c r="H45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F79" i="4"/>
  <c r="F80" i="4"/>
  <c r="F87" i="4"/>
  <c r="F88" i="4"/>
  <c r="F89" i="4"/>
  <c r="F90" i="4"/>
  <c r="F91" i="4"/>
  <c r="F92" i="4"/>
  <c r="F93" i="4"/>
  <c r="F94" i="4"/>
  <c r="F95" i="4"/>
  <c r="F96" i="4"/>
  <c r="F97" i="4"/>
  <c r="F98" i="4"/>
  <c r="F81" i="4"/>
  <c r="F82" i="4"/>
  <c r="F83" i="4"/>
  <c r="F84" i="4"/>
  <c r="F85" i="4"/>
  <c r="F86" i="4"/>
  <c r="F97" i="7"/>
  <c r="F96" i="7"/>
  <c r="F95" i="7"/>
  <c r="F94" i="7"/>
  <c r="F93" i="7"/>
  <c r="F98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D17" i="8"/>
  <c r="K76" i="8"/>
  <c r="D17" i="7"/>
  <c r="K76" i="7"/>
  <c r="K76" i="6"/>
  <c r="D17" i="6"/>
  <c r="E60" i="8"/>
  <c r="E60" i="6"/>
  <c r="E60" i="5"/>
  <c r="E60" i="4"/>
  <c r="E60" i="3"/>
  <c r="G6" i="1"/>
  <c r="G19" i="1"/>
  <c r="C22" i="9"/>
  <c r="E60" i="7"/>
  <c r="I54" i="7" l="1"/>
  <c r="L54" i="7"/>
  <c r="G69" i="7" s="1"/>
  <c r="I53" i="7"/>
  <c r="L53" i="7"/>
  <c r="G68" i="7" s="1"/>
  <c r="I52" i="7"/>
  <c r="L52" i="7"/>
  <c r="G67" i="7" s="1"/>
  <c r="I50" i="7"/>
  <c r="L50" i="7"/>
  <c r="G65" i="7" s="1"/>
  <c r="I48" i="7"/>
  <c r="L48" i="7"/>
  <c r="G63" i="7" s="1"/>
  <c r="I47" i="7"/>
  <c r="L47" i="7"/>
  <c r="G62" i="7" s="1"/>
  <c r="F68" i="6"/>
  <c r="Q53" i="6"/>
  <c r="I56" i="8"/>
  <c r="L56" i="8"/>
  <c r="G71" i="8" s="1"/>
  <c r="I55" i="8"/>
  <c r="L55" i="8"/>
  <c r="G70" i="8" s="1"/>
  <c r="I54" i="8"/>
  <c r="L54" i="8"/>
  <c r="G69" i="8" s="1"/>
  <c r="I53" i="8"/>
  <c r="L53" i="8"/>
  <c r="G68" i="8" s="1"/>
  <c r="I52" i="8"/>
  <c r="L52" i="8"/>
  <c r="G67" i="8" s="1"/>
  <c r="I51" i="8"/>
  <c r="L51" i="8"/>
  <c r="G66" i="8" s="1"/>
  <c r="I50" i="8"/>
  <c r="L50" i="8"/>
  <c r="G65" i="8" s="1"/>
  <c r="I49" i="8"/>
  <c r="L49" i="8"/>
  <c r="G64" i="8" s="1"/>
  <c r="I48" i="8"/>
  <c r="L48" i="8"/>
  <c r="G63" i="8" s="1"/>
  <c r="I47" i="8"/>
  <c r="L47" i="8"/>
  <c r="G62" i="8" s="1"/>
  <c r="I46" i="8"/>
  <c r="L46" i="8"/>
  <c r="G61" i="8" s="1"/>
  <c r="I45" i="8"/>
  <c r="L45" i="8"/>
  <c r="G60" i="8" s="1"/>
  <c r="I56" i="7"/>
  <c r="L56" i="7"/>
  <c r="G71" i="7" s="1"/>
  <c r="I51" i="7"/>
  <c r="L51" i="7"/>
  <c r="G66" i="7" s="1"/>
  <c r="I49" i="7"/>
  <c r="L49" i="7"/>
  <c r="G64" i="7" s="1"/>
  <c r="I46" i="7"/>
  <c r="L46" i="7"/>
  <c r="G61" i="7" s="1"/>
  <c r="I45" i="7"/>
  <c r="L45" i="7"/>
  <c r="G60" i="7" s="1"/>
  <c r="Q56" i="6"/>
  <c r="F71" i="6"/>
  <c r="F70" i="6"/>
  <c r="Q55" i="6"/>
  <c r="F69" i="6"/>
  <c r="Q54" i="6"/>
  <c r="I55" i="7"/>
  <c r="L55" i="7"/>
  <c r="G70" i="7" s="1"/>
  <c r="I52" i="6"/>
  <c r="L52" i="6"/>
  <c r="G67" i="6" s="1"/>
  <c r="I51" i="6"/>
  <c r="L51" i="6"/>
  <c r="G66" i="6" s="1"/>
  <c r="I50" i="6"/>
  <c r="L50" i="6"/>
  <c r="G65" i="6" s="1"/>
  <c r="I49" i="6"/>
  <c r="L49" i="6"/>
  <c r="G64" i="6" s="1"/>
  <c r="I48" i="6"/>
  <c r="L48" i="6"/>
  <c r="G63" i="6" s="1"/>
  <c r="I47" i="6"/>
  <c r="L47" i="6"/>
  <c r="G62" i="6" s="1"/>
  <c r="I46" i="6"/>
  <c r="L46" i="6"/>
  <c r="G61" i="6" s="1"/>
  <c r="I45" i="6"/>
  <c r="L45" i="6"/>
  <c r="G60" i="6" s="1"/>
  <c r="I56" i="5"/>
  <c r="L56" i="5"/>
  <c r="G71" i="5" s="1"/>
  <c r="I55" i="5"/>
  <c r="L55" i="5"/>
  <c r="G70" i="5" s="1"/>
  <c r="I54" i="5"/>
  <c r="L54" i="5"/>
  <c r="G69" i="5" s="1"/>
  <c r="I53" i="5"/>
  <c r="L53" i="5"/>
  <c r="G68" i="5" s="1"/>
  <c r="I52" i="5"/>
  <c r="L52" i="5"/>
  <c r="G67" i="5" s="1"/>
  <c r="I51" i="5"/>
  <c r="L51" i="5"/>
  <c r="G66" i="5" s="1"/>
  <c r="I50" i="5"/>
  <c r="L50" i="5"/>
  <c r="G65" i="5" s="1"/>
  <c r="I49" i="5"/>
  <c r="L49" i="5"/>
  <c r="G64" i="5" s="1"/>
  <c r="I48" i="5"/>
  <c r="L48" i="5"/>
  <c r="G63" i="5" s="1"/>
  <c r="I47" i="5"/>
  <c r="L47" i="5"/>
  <c r="G62" i="5" s="1"/>
  <c r="I46" i="5"/>
  <c r="L46" i="5"/>
  <c r="G61" i="5" s="1"/>
  <c r="I45" i="5"/>
  <c r="L45" i="5"/>
  <c r="G60" i="5" s="1"/>
  <c r="I56" i="4"/>
  <c r="L56" i="4"/>
  <c r="G71" i="4" s="1"/>
  <c r="I55" i="4"/>
  <c r="L55" i="4"/>
  <c r="G70" i="4" s="1"/>
  <c r="I54" i="4"/>
  <c r="L54" i="4"/>
  <c r="G69" i="4" s="1"/>
  <c r="I53" i="4"/>
  <c r="L53" i="4"/>
  <c r="G68" i="4" s="1"/>
  <c r="I52" i="4"/>
  <c r="L52" i="4"/>
  <c r="G67" i="4" s="1"/>
  <c r="I51" i="4"/>
  <c r="L51" i="4"/>
  <c r="G66" i="4" s="1"/>
  <c r="I50" i="4"/>
  <c r="L50" i="4"/>
  <c r="G65" i="4" s="1"/>
  <c r="I49" i="4"/>
  <c r="L49" i="4"/>
  <c r="G64" i="4" s="1"/>
  <c r="I48" i="4"/>
  <c r="L48" i="4"/>
  <c r="G63" i="4" s="1"/>
  <c r="I47" i="4"/>
  <c r="L47" i="4"/>
  <c r="G62" i="4" s="1"/>
  <c r="I46" i="4"/>
  <c r="L46" i="4"/>
  <c r="G61" i="4" s="1"/>
  <c r="I45" i="4"/>
  <c r="L45" i="4"/>
  <c r="G60" i="4" s="1"/>
  <c r="I56" i="3"/>
  <c r="L56" i="3"/>
  <c r="G71" i="3" s="1"/>
  <c r="I55" i="3"/>
  <c r="L55" i="3"/>
  <c r="G70" i="3" s="1"/>
  <c r="I54" i="3"/>
  <c r="L54" i="3"/>
  <c r="G69" i="3" s="1"/>
  <c r="I53" i="3"/>
  <c r="L53" i="3"/>
  <c r="G68" i="3" s="1"/>
  <c r="I52" i="3"/>
  <c r="L52" i="3"/>
  <c r="G67" i="3" s="1"/>
  <c r="I51" i="3"/>
  <c r="L51" i="3"/>
  <c r="G66" i="3" s="1"/>
  <c r="I50" i="3"/>
  <c r="L50" i="3"/>
  <c r="G65" i="3" s="1"/>
  <c r="I49" i="3"/>
  <c r="L49" i="3"/>
  <c r="G64" i="3" s="1"/>
  <c r="I48" i="3"/>
  <c r="L48" i="3"/>
  <c r="G63" i="3" s="1"/>
  <c r="I47" i="3"/>
  <c r="L47" i="3"/>
  <c r="G62" i="3" s="1"/>
  <c r="I46" i="3"/>
  <c r="L46" i="3"/>
  <c r="G61" i="3" s="1"/>
  <c r="I45" i="3"/>
  <c r="L45" i="3"/>
  <c r="G60" i="3" s="1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79" i="7"/>
  <c r="I80" i="7"/>
  <c r="I81" i="7"/>
  <c r="I82" i="7"/>
  <c r="I83" i="7"/>
  <c r="I84" i="7"/>
  <c r="I85" i="7"/>
  <c r="I86" i="7"/>
  <c r="I87" i="7"/>
  <c r="I88" i="7"/>
  <c r="I89" i="7"/>
  <c r="I90" i="7"/>
  <c r="I92" i="7"/>
  <c r="I93" i="7"/>
  <c r="I91" i="7"/>
  <c r="I81" i="6"/>
  <c r="I82" i="6"/>
  <c r="I88" i="6"/>
  <c r="I89" i="6"/>
  <c r="I90" i="6"/>
  <c r="I92" i="6"/>
  <c r="I93" i="6"/>
  <c r="I79" i="6"/>
  <c r="I80" i="6"/>
  <c r="I83" i="6"/>
  <c r="I84" i="6"/>
  <c r="I85" i="6"/>
  <c r="I86" i="6"/>
  <c r="I87" i="6"/>
  <c r="I91" i="6"/>
  <c r="E72" i="8"/>
  <c r="E72" i="6"/>
  <c r="E72" i="5"/>
  <c r="E72" i="4"/>
  <c r="E72" i="3"/>
  <c r="E72" i="7"/>
  <c r="G72" i="6" l="1"/>
  <c r="G72" i="4"/>
  <c r="G72" i="3"/>
  <c r="G72" i="5"/>
  <c r="G72" i="8"/>
  <c r="F69" i="7"/>
  <c r="Q54" i="7"/>
  <c r="F68" i="7"/>
  <c r="Q53" i="7"/>
  <c r="F67" i="7"/>
  <c r="Q52" i="7"/>
  <c r="F65" i="7"/>
  <c r="Q50" i="7"/>
  <c r="F63" i="7"/>
  <c r="Q48" i="7"/>
  <c r="Q47" i="7"/>
  <c r="F62" i="7"/>
  <c r="I68" i="6"/>
  <c r="J68" i="6"/>
  <c r="K68" i="6" s="1"/>
  <c r="F71" i="8"/>
  <c r="Q56" i="8"/>
  <c r="F70" i="8"/>
  <c r="Q55" i="8"/>
  <c r="F69" i="8"/>
  <c r="Q54" i="8"/>
  <c r="F68" i="8"/>
  <c r="Q53" i="8"/>
  <c r="F67" i="8"/>
  <c r="Q52" i="8"/>
  <c r="F66" i="8"/>
  <c r="Q51" i="8"/>
  <c r="F65" i="8"/>
  <c r="Q50" i="8"/>
  <c r="F64" i="8"/>
  <c r="Q49" i="8"/>
  <c r="F63" i="8"/>
  <c r="Q48" i="8"/>
  <c r="F62" i="8"/>
  <c r="Q47" i="8"/>
  <c r="F61" i="8"/>
  <c r="Q46" i="8"/>
  <c r="F60" i="8"/>
  <c r="Q45" i="8"/>
  <c r="B18" i="8"/>
  <c r="Q56" i="7"/>
  <c r="F71" i="7"/>
  <c r="F66" i="7"/>
  <c r="Q51" i="7"/>
  <c r="F64" i="7"/>
  <c r="Q49" i="7"/>
  <c r="F61" i="7"/>
  <c r="Q46" i="7"/>
  <c r="F60" i="7"/>
  <c r="Q45" i="7"/>
  <c r="I71" i="6"/>
  <c r="J71" i="6"/>
  <c r="K71" i="6" s="1"/>
  <c r="I70" i="6"/>
  <c r="J70" i="6"/>
  <c r="K70" i="6" s="1"/>
  <c r="I69" i="6"/>
  <c r="J69" i="6"/>
  <c r="K69" i="6" s="1"/>
  <c r="Q55" i="7"/>
  <c r="F70" i="7"/>
  <c r="F67" i="6"/>
  <c r="Q52" i="6"/>
  <c r="F66" i="6"/>
  <c r="Q51" i="6"/>
  <c r="F65" i="6"/>
  <c r="Q50" i="6"/>
  <c r="F64" i="6"/>
  <c r="Q49" i="6"/>
  <c r="F63" i="6"/>
  <c r="Q48" i="6"/>
  <c r="F62" i="6"/>
  <c r="Q47" i="6"/>
  <c r="F61" i="6"/>
  <c r="Q46" i="6"/>
  <c r="Q45" i="6"/>
  <c r="F60" i="6"/>
  <c r="B18" i="6"/>
  <c r="G76" i="6"/>
  <c r="F71" i="5"/>
  <c r="Q56" i="5"/>
  <c r="F70" i="5"/>
  <c r="Q55" i="5"/>
  <c r="F69" i="5"/>
  <c r="Q54" i="5"/>
  <c r="Q53" i="5"/>
  <c r="F68" i="5"/>
  <c r="Q52" i="5"/>
  <c r="F67" i="5"/>
  <c r="Q51" i="5"/>
  <c r="F66" i="5"/>
  <c r="F65" i="5"/>
  <c r="Q50" i="5"/>
  <c r="F64" i="5"/>
  <c r="Q49" i="5"/>
  <c r="F63" i="5"/>
  <c r="Q48" i="5"/>
  <c r="Q47" i="5"/>
  <c r="F62" i="5"/>
  <c r="F61" i="5"/>
  <c r="Q46" i="5"/>
  <c r="F60" i="5"/>
  <c r="Q45" i="5"/>
  <c r="B18" i="5"/>
  <c r="Q56" i="4"/>
  <c r="F71" i="4"/>
  <c r="F70" i="4"/>
  <c r="Q55" i="4"/>
  <c r="F69" i="4"/>
  <c r="Q54" i="4"/>
  <c r="F68" i="4"/>
  <c r="Q53" i="4"/>
  <c r="Q52" i="4"/>
  <c r="F67" i="4"/>
  <c r="F66" i="4"/>
  <c r="Q51" i="4"/>
  <c r="F65" i="4"/>
  <c r="Q50" i="4"/>
  <c r="F64" i="4"/>
  <c r="Q49" i="4"/>
  <c r="F63" i="4"/>
  <c r="Q48" i="4"/>
  <c r="F62" i="4"/>
  <c r="Q47" i="4"/>
  <c r="F61" i="4"/>
  <c r="Q46" i="4"/>
  <c r="F60" i="4"/>
  <c r="Q45" i="4"/>
  <c r="G76" i="4"/>
  <c r="B18" i="4"/>
  <c r="F71" i="3"/>
  <c r="Q56" i="3"/>
  <c r="F70" i="3"/>
  <c r="Q55" i="3"/>
  <c r="F69" i="3"/>
  <c r="Q54" i="3"/>
  <c r="F68" i="3"/>
  <c r="Q53" i="3"/>
  <c r="F67" i="3"/>
  <c r="Q52" i="3"/>
  <c r="F66" i="3"/>
  <c r="Q51" i="3"/>
  <c r="F65" i="3"/>
  <c r="Q50" i="3"/>
  <c r="F64" i="3"/>
  <c r="Q49" i="3"/>
  <c r="F63" i="3"/>
  <c r="Q48" i="3"/>
  <c r="F62" i="3"/>
  <c r="Q47" i="3"/>
  <c r="F61" i="3"/>
  <c r="Q46" i="3"/>
  <c r="F60" i="3"/>
  <c r="Q45" i="3"/>
  <c r="G76" i="3"/>
  <c r="B18" i="3"/>
  <c r="G72" i="7"/>
  <c r="G76" i="8" l="1"/>
  <c r="G76" i="5"/>
  <c r="I69" i="7"/>
  <c r="J69" i="7"/>
  <c r="K69" i="7" s="1"/>
  <c r="I68" i="7"/>
  <c r="J68" i="7"/>
  <c r="K68" i="7" s="1"/>
  <c r="I67" i="7"/>
  <c r="J67" i="7"/>
  <c r="K67" i="7" s="1"/>
  <c r="I65" i="7"/>
  <c r="J65" i="7"/>
  <c r="K65" i="7" s="1"/>
  <c r="I63" i="7"/>
  <c r="J63" i="7"/>
  <c r="K63" i="7" s="1"/>
  <c r="I62" i="7"/>
  <c r="J62" i="7"/>
  <c r="K62" i="7" s="1"/>
  <c r="I71" i="8"/>
  <c r="J71" i="8"/>
  <c r="K71" i="8" s="1"/>
  <c r="I70" i="8"/>
  <c r="J70" i="8"/>
  <c r="K70" i="8" s="1"/>
  <c r="I69" i="8"/>
  <c r="J69" i="8"/>
  <c r="K69" i="8" s="1"/>
  <c r="I68" i="8"/>
  <c r="J68" i="8"/>
  <c r="K68" i="8" s="1"/>
  <c r="I67" i="8"/>
  <c r="J67" i="8"/>
  <c r="K67" i="8" s="1"/>
  <c r="I66" i="8"/>
  <c r="J66" i="8"/>
  <c r="K66" i="8" s="1"/>
  <c r="I65" i="8"/>
  <c r="J65" i="8"/>
  <c r="K65" i="8" s="1"/>
  <c r="I64" i="8"/>
  <c r="J64" i="8"/>
  <c r="K64" i="8" s="1"/>
  <c r="I63" i="8"/>
  <c r="J63" i="8"/>
  <c r="K63" i="8" s="1"/>
  <c r="I62" i="8"/>
  <c r="J62" i="8"/>
  <c r="K62" i="8" s="1"/>
  <c r="I61" i="8"/>
  <c r="J61" i="8"/>
  <c r="K61" i="8" s="1"/>
  <c r="I60" i="8"/>
  <c r="F72" i="8"/>
  <c r="J60" i="8"/>
  <c r="E79" i="8"/>
  <c r="J79" i="8" s="1"/>
  <c r="L79" i="8" s="1"/>
  <c r="E80" i="8"/>
  <c r="J80" i="8" s="1"/>
  <c r="L80" i="8" s="1"/>
  <c r="E85" i="8"/>
  <c r="J85" i="8" s="1"/>
  <c r="L85" i="8" s="1"/>
  <c r="E86" i="8"/>
  <c r="J86" i="8" s="1"/>
  <c r="L86" i="8" s="1"/>
  <c r="E87" i="8"/>
  <c r="J87" i="8" s="1"/>
  <c r="L87" i="8" s="1"/>
  <c r="E88" i="8"/>
  <c r="J88" i="8" s="1"/>
  <c r="L88" i="8" s="1"/>
  <c r="E89" i="8"/>
  <c r="J89" i="8" s="1"/>
  <c r="L89" i="8" s="1"/>
  <c r="E90" i="8"/>
  <c r="J90" i="8" s="1"/>
  <c r="L90" i="8" s="1"/>
  <c r="E91" i="8"/>
  <c r="J91" i="8" s="1"/>
  <c r="L91" i="8" s="1"/>
  <c r="E92" i="8"/>
  <c r="J92" i="8" s="1"/>
  <c r="L92" i="8" s="1"/>
  <c r="E93" i="8"/>
  <c r="J93" i="8" s="1"/>
  <c r="L93" i="8" s="1"/>
  <c r="E94" i="8"/>
  <c r="J94" i="8" s="1"/>
  <c r="L94" i="8" s="1"/>
  <c r="E95" i="8"/>
  <c r="J95" i="8" s="1"/>
  <c r="L95" i="8" s="1"/>
  <c r="E96" i="8"/>
  <c r="J96" i="8" s="1"/>
  <c r="L96" i="8" s="1"/>
  <c r="E97" i="8"/>
  <c r="J97" i="8" s="1"/>
  <c r="L97" i="8" s="1"/>
  <c r="E98" i="8"/>
  <c r="J98" i="8" s="1"/>
  <c r="L98" i="8" s="1"/>
  <c r="I71" i="7"/>
  <c r="J71" i="7"/>
  <c r="K71" i="7" s="1"/>
  <c r="I66" i="7"/>
  <c r="J66" i="7"/>
  <c r="K66" i="7" s="1"/>
  <c r="I64" i="7"/>
  <c r="J64" i="7"/>
  <c r="K64" i="7" s="1"/>
  <c r="I61" i="7"/>
  <c r="J61" i="7"/>
  <c r="K61" i="7" s="1"/>
  <c r="I60" i="7"/>
  <c r="F72" i="7"/>
  <c r="J60" i="7"/>
  <c r="I70" i="7"/>
  <c r="J70" i="7"/>
  <c r="K70" i="7" s="1"/>
  <c r="I67" i="6"/>
  <c r="J67" i="6"/>
  <c r="K67" i="6" s="1"/>
  <c r="I66" i="6"/>
  <c r="J66" i="6"/>
  <c r="K66" i="6" s="1"/>
  <c r="I65" i="6"/>
  <c r="J65" i="6"/>
  <c r="K65" i="6" s="1"/>
  <c r="I64" i="6"/>
  <c r="J64" i="6"/>
  <c r="K64" i="6" s="1"/>
  <c r="I63" i="6"/>
  <c r="J63" i="6"/>
  <c r="K63" i="6" s="1"/>
  <c r="I62" i="6"/>
  <c r="J62" i="6"/>
  <c r="K62" i="6" s="1"/>
  <c r="I61" i="6"/>
  <c r="J61" i="6"/>
  <c r="K61" i="6" s="1"/>
  <c r="I60" i="6"/>
  <c r="I72" i="6" s="1"/>
  <c r="J60" i="6"/>
  <c r="F72" i="6"/>
  <c r="E84" i="6"/>
  <c r="J84" i="6" s="1"/>
  <c r="L84" i="6" s="1"/>
  <c r="E91" i="6"/>
  <c r="J91" i="6" s="1"/>
  <c r="L91" i="6" s="1"/>
  <c r="E92" i="6"/>
  <c r="J92" i="6" s="1"/>
  <c r="L92" i="6" s="1"/>
  <c r="E96" i="6"/>
  <c r="J96" i="6" s="1"/>
  <c r="L96" i="6" s="1"/>
  <c r="E81" i="6"/>
  <c r="J81" i="6" s="1"/>
  <c r="L81" i="6" s="1"/>
  <c r="E82" i="6"/>
  <c r="J82" i="6" s="1"/>
  <c r="L82" i="6" s="1"/>
  <c r="E83" i="6"/>
  <c r="J83" i="6" s="1"/>
  <c r="L83" i="6" s="1"/>
  <c r="E85" i="6"/>
  <c r="J85" i="6" s="1"/>
  <c r="L85" i="6" s="1"/>
  <c r="E86" i="6"/>
  <c r="J86" i="6" s="1"/>
  <c r="L86" i="6" s="1"/>
  <c r="E87" i="6"/>
  <c r="J87" i="6" s="1"/>
  <c r="L87" i="6" s="1"/>
  <c r="E88" i="6"/>
  <c r="J88" i="6" s="1"/>
  <c r="L88" i="6" s="1"/>
  <c r="E89" i="6"/>
  <c r="J89" i="6" s="1"/>
  <c r="L89" i="6" s="1"/>
  <c r="E90" i="6"/>
  <c r="J90" i="6" s="1"/>
  <c r="L90" i="6" s="1"/>
  <c r="E93" i="6"/>
  <c r="J93" i="6" s="1"/>
  <c r="L93" i="6" s="1"/>
  <c r="E95" i="6"/>
  <c r="J95" i="6" s="1"/>
  <c r="L95" i="6" s="1"/>
  <c r="E97" i="6"/>
  <c r="J97" i="6" s="1"/>
  <c r="L97" i="6" s="1"/>
  <c r="E98" i="6"/>
  <c r="J98" i="6" s="1"/>
  <c r="L98" i="6" s="1"/>
  <c r="E79" i="6"/>
  <c r="J79" i="6" s="1"/>
  <c r="L79" i="6" s="1"/>
  <c r="E80" i="6"/>
  <c r="J80" i="6" s="1"/>
  <c r="L80" i="6" s="1"/>
  <c r="E94" i="6"/>
  <c r="J94" i="6" s="1"/>
  <c r="L94" i="6" s="1"/>
  <c r="I71" i="5"/>
  <c r="J71" i="5"/>
  <c r="K71" i="5" s="1"/>
  <c r="I70" i="5"/>
  <c r="J70" i="5"/>
  <c r="K70" i="5" s="1"/>
  <c r="I69" i="5"/>
  <c r="J69" i="5"/>
  <c r="K69" i="5" s="1"/>
  <c r="I68" i="5"/>
  <c r="J68" i="5"/>
  <c r="K68" i="5" s="1"/>
  <c r="I67" i="5"/>
  <c r="J67" i="5"/>
  <c r="K67" i="5" s="1"/>
  <c r="I66" i="5"/>
  <c r="J66" i="5"/>
  <c r="K66" i="5" s="1"/>
  <c r="I65" i="5"/>
  <c r="J65" i="5"/>
  <c r="K65" i="5" s="1"/>
  <c r="I64" i="5"/>
  <c r="J64" i="5"/>
  <c r="K64" i="5" s="1"/>
  <c r="I63" i="5"/>
  <c r="J63" i="5"/>
  <c r="K63" i="5" s="1"/>
  <c r="I62" i="5"/>
  <c r="J62" i="5"/>
  <c r="K62" i="5" s="1"/>
  <c r="I61" i="5"/>
  <c r="J61" i="5"/>
  <c r="K61" i="5" s="1"/>
  <c r="I60" i="5"/>
  <c r="I72" i="5" s="1"/>
  <c r="F72" i="5"/>
  <c r="J60" i="5"/>
  <c r="E79" i="5"/>
  <c r="J79" i="5" s="1"/>
  <c r="L79" i="5" s="1"/>
  <c r="E80" i="5"/>
  <c r="J80" i="5" s="1"/>
  <c r="L80" i="5" s="1"/>
  <c r="E81" i="5"/>
  <c r="J81" i="5" s="1"/>
  <c r="L81" i="5" s="1"/>
  <c r="E82" i="5"/>
  <c r="J82" i="5" s="1"/>
  <c r="L82" i="5" s="1"/>
  <c r="E83" i="5"/>
  <c r="J83" i="5" s="1"/>
  <c r="L83" i="5" s="1"/>
  <c r="E84" i="5"/>
  <c r="J84" i="5" s="1"/>
  <c r="L84" i="5" s="1"/>
  <c r="E85" i="5"/>
  <c r="J85" i="5" s="1"/>
  <c r="L85" i="5" s="1"/>
  <c r="E86" i="5"/>
  <c r="J86" i="5" s="1"/>
  <c r="L86" i="5" s="1"/>
  <c r="E87" i="5"/>
  <c r="J87" i="5" s="1"/>
  <c r="L87" i="5" s="1"/>
  <c r="E88" i="5"/>
  <c r="J88" i="5" s="1"/>
  <c r="L88" i="5" s="1"/>
  <c r="E89" i="5"/>
  <c r="J89" i="5" s="1"/>
  <c r="L89" i="5" s="1"/>
  <c r="E90" i="5"/>
  <c r="J90" i="5" s="1"/>
  <c r="L90" i="5" s="1"/>
  <c r="E91" i="5"/>
  <c r="J91" i="5" s="1"/>
  <c r="L91" i="5" s="1"/>
  <c r="E92" i="5"/>
  <c r="J92" i="5" s="1"/>
  <c r="L92" i="5" s="1"/>
  <c r="E93" i="5"/>
  <c r="J93" i="5" s="1"/>
  <c r="L93" i="5" s="1"/>
  <c r="E94" i="5"/>
  <c r="J94" i="5" s="1"/>
  <c r="L94" i="5" s="1"/>
  <c r="E95" i="5"/>
  <c r="J95" i="5" s="1"/>
  <c r="L95" i="5" s="1"/>
  <c r="E96" i="5"/>
  <c r="J96" i="5" s="1"/>
  <c r="L96" i="5" s="1"/>
  <c r="E97" i="5"/>
  <c r="J97" i="5" s="1"/>
  <c r="L97" i="5" s="1"/>
  <c r="E98" i="5"/>
  <c r="J98" i="5" s="1"/>
  <c r="L98" i="5" s="1"/>
  <c r="I71" i="4"/>
  <c r="J71" i="4"/>
  <c r="K71" i="4" s="1"/>
  <c r="I70" i="4"/>
  <c r="J70" i="4"/>
  <c r="K70" i="4" s="1"/>
  <c r="I69" i="4"/>
  <c r="J69" i="4"/>
  <c r="K69" i="4" s="1"/>
  <c r="I68" i="4"/>
  <c r="J68" i="4"/>
  <c r="K68" i="4" s="1"/>
  <c r="I67" i="4"/>
  <c r="J67" i="4"/>
  <c r="K67" i="4" s="1"/>
  <c r="I66" i="4"/>
  <c r="J66" i="4"/>
  <c r="K66" i="4" s="1"/>
  <c r="I65" i="4"/>
  <c r="J65" i="4"/>
  <c r="K65" i="4" s="1"/>
  <c r="I64" i="4"/>
  <c r="J64" i="4"/>
  <c r="K64" i="4" s="1"/>
  <c r="I63" i="4"/>
  <c r="J63" i="4"/>
  <c r="K63" i="4" s="1"/>
  <c r="I62" i="4"/>
  <c r="J62" i="4"/>
  <c r="K62" i="4" s="1"/>
  <c r="I61" i="4"/>
  <c r="J61" i="4"/>
  <c r="K61" i="4" s="1"/>
  <c r="I60" i="4"/>
  <c r="F72" i="4"/>
  <c r="J60" i="4"/>
  <c r="E79" i="4"/>
  <c r="J79" i="4" s="1"/>
  <c r="L79" i="4" s="1"/>
  <c r="E80" i="4"/>
  <c r="J80" i="4" s="1"/>
  <c r="L80" i="4" s="1"/>
  <c r="E87" i="4"/>
  <c r="J87" i="4" s="1"/>
  <c r="L87" i="4" s="1"/>
  <c r="E88" i="4"/>
  <c r="J88" i="4" s="1"/>
  <c r="L88" i="4" s="1"/>
  <c r="E89" i="4"/>
  <c r="J89" i="4" s="1"/>
  <c r="L89" i="4" s="1"/>
  <c r="E90" i="4"/>
  <c r="J90" i="4" s="1"/>
  <c r="L90" i="4" s="1"/>
  <c r="E91" i="4"/>
  <c r="J91" i="4" s="1"/>
  <c r="L91" i="4" s="1"/>
  <c r="E92" i="4"/>
  <c r="J92" i="4" s="1"/>
  <c r="L92" i="4" s="1"/>
  <c r="E93" i="4"/>
  <c r="J93" i="4" s="1"/>
  <c r="L93" i="4" s="1"/>
  <c r="E94" i="4"/>
  <c r="J94" i="4" s="1"/>
  <c r="L94" i="4" s="1"/>
  <c r="E95" i="4"/>
  <c r="J95" i="4" s="1"/>
  <c r="L95" i="4" s="1"/>
  <c r="E96" i="4"/>
  <c r="J96" i="4" s="1"/>
  <c r="L96" i="4" s="1"/>
  <c r="E97" i="4"/>
  <c r="J97" i="4" s="1"/>
  <c r="L97" i="4" s="1"/>
  <c r="E98" i="4"/>
  <c r="J98" i="4" s="1"/>
  <c r="L98" i="4" s="1"/>
  <c r="E81" i="4"/>
  <c r="J81" i="4" s="1"/>
  <c r="L81" i="4" s="1"/>
  <c r="E82" i="4"/>
  <c r="J82" i="4" s="1"/>
  <c r="L82" i="4" s="1"/>
  <c r="E83" i="4"/>
  <c r="J83" i="4" s="1"/>
  <c r="L83" i="4" s="1"/>
  <c r="E84" i="4"/>
  <c r="J84" i="4" s="1"/>
  <c r="L84" i="4" s="1"/>
  <c r="E85" i="4"/>
  <c r="J85" i="4" s="1"/>
  <c r="L85" i="4" s="1"/>
  <c r="E86" i="4"/>
  <c r="J86" i="4" s="1"/>
  <c r="L86" i="4" s="1"/>
  <c r="I71" i="3"/>
  <c r="J71" i="3"/>
  <c r="K71" i="3" s="1"/>
  <c r="I70" i="3"/>
  <c r="J70" i="3"/>
  <c r="K70" i="3" s="1"/>
  <c r="I69" i="3"/>
  <c r="J69" i="3"/>
  <c r="K69" i="3" s="1"/>
  <c r="I68" i="3"/>
  <c r="J68" i="3"/>
  <c r="K68" i="3" s="1"/>
  <c r="I67" i="3"/>
  <c r="J67" i="3"/>
  <c r="K67" i="3" s="1"/>
  <c r="I66" i="3"/>
  <c r="J66" i="3"/>
  <c r="K66" i="3" s="1"/>
  <c r="I65" i="3"/>
  <c r="J65" i="3"/>
  <c r="K65" i="3" s="1"/>
  <c r="I64" i="3"/>
  <c r="J64" i="3"/>
  <c r="K64" i="3" s="1"/>
  <c r="I63" i="3"/>
  <c r="J63" i="3"/>
  <c r="K63" i="3" s="1"/>
  <c r="I62" i="3"/>
  <c r="J62" i="3"/>
  <c r="K62" i="3" s="1"/>
  <c r="I61" i="3"/>
  <c r="J61" i="3"/>
  <c r="K61" i="3" s="1"/>
  <c r="I60" i="3"/>
  <c r="F72" i="3"/>
  <c r="J60" i="3"/>
  <c r="E79" i="3"/>
  <c r="J79" i="3" s="1"/>
  <c r="L79" i="3" s="1"/>
  <c r="E80" i="3"/>
  <c r="J80" i="3" s="1"/>
  <c r="L80" i="3" s="1"/>
  <c r="E81" i="3"/>
  <c r="J81" i="3" s="1"/>
  <c r="L81" i="3" s="1"/>
  <c r="E82" i="3"/>
  <c r="J82" i="3" s="1"/>
  <c r="L82" i="3" s="1"/>
  <c r="E83" i="3"/>
  <c r="J83" i="3" s="1"/>
  <c r="L83" i="3" s="1"/>
  <c r="E84" i="3"/>
  <c r="J84" i="3" s="1"/>
  <c r="L84" i="3" s="1"/>
  <c r="E85" i="3"/>
  <c r="J85" i="3" s="1"/>
  <c r="L85" i="3" s="1"/>
  <c r="E86" i="3"/>
  <c r="J86" i="3" s="1"/>
  <c r="L86" i="3" s="1"/>
  <c r="E87" i="3"/>
  <c r="J87" i="3" s="1"/>
  <c r="L87" i="3" s="1"/>
  <c r="E88" i="3"/>
  <c r="J88" i="3" s="1"/>
  <c r="L88" i="3" s="1"/>
  <c r="E89" i="3"/>
  <c r="J89" i="3" s="1"/>
  <c r="L89" i="3" s="1"/>
  <c r="E90" i="3"/>
  <c r="J90" i="3" s="1"/>
  <c r="L90" i="3" s="1"/>
  <c r="E91" i="3"/>
  <c r="J91" i="3" s="1"/>
  <c r="L91" i="3" s="1"/>
  <c r="E95" i="3"/>
  <c r="J95" i="3" s="1"/>
  <c r="L95" i="3" s="1"/>
  <c r="E93" i="3"/>
  <c r="J93" i="3" s="1"/>
  <c r="L93" i="3" s="1"/>
  <c r="E92" i="3"/>
  <c r="J92" i="3" s="1"/>
  <c r="L92" i="3" s="1"/>
  <c r="E94" i="3"/>
  <c r="J94" i="3" s="1"/>
  <c r="L94" i="3" s="1"/>
  <c r="E96" i="3"/>
  <c r="J96" i="3" s="1"/>
  <c r="L96" i="3" s="1"/>
  <c r="E97" i="3"/>
  <c r="J97" i="3" s="1"/>
  <c r="L97" i="3" s="1"/>
  <c r="E98" i="3"/>
  <c r="J98" i="3" s="1"/>
  <c r="L98" i="3" s="1"/>
  <c r="B18" i="7"/>
  <c r="G76" i="7"/>
  <c r="I72" i="8" l="1"/>
  <c r="E81" i="8"/>
  <c r="J81" i="8" s="1"/>
  <c r="L81" i="8" s="1"/>
  <c r="E82" i="8"/>
  <c r="J82" i="8" s="1"/>
  <c r="L82" i="8" s="1"/>
  <c r="E83" i="8"/>
  <c r="J83" i="8" s="1"/>
  <c r="L83" i="8" s="1"/>
  <c r="E84" i="8"/>
  <c r="J84" i="8" s="1"/>
  <c r="L84" i="8" s="1"/>
  <c r="I72" i="4"/>
  <c r="C76" i="8"/>
  <c r="E76" i="8"/>
  <c r="B17" i="8"/>
  <c r="K60" i="8"/>
  <c r="J72" i="8"/>
  <c r="L99" i="8"/>
  <c r="G101" i="8"/>
  <c r="C76" i="7"/>
  <c r="E76" i="7"/>
  <c r="B17" i="7"/>
  <c r="K60" i="7"/>
  <c r="J72" i="7"/>
  <c r="K60" i="6"/>
  <c r="J72" i="6"/>
  <c r="C76" i="6"/>
  <c r="E76" i="6"/>
  <c r="B17" i="6"/>
  <c r="L99" i="6"/>
  <c r="G101" i="6"/>
  <c r="C76" i="5"/>
  <c r="E76" i="5"/>
  <c r="B17" i="5"/>
  <c r="K60" i="5"/>
  <c r="J72" i="5"/>
  <c r="L99" i="5"/>
  <c r="G101" i="5"/>
  <c r="C76" i="4"/>
  <c r="E76" i="4"/>
  <c r="B17" i="4"/>
  <c r="K60" i="4"/>
  <c r="J72" i="4"/>
  <c r="L99" i="4"/>
  <c r="G101" i="4"/>
  <c r="C76" i="3"/>
  <c r="E76" i="3"/>
  <c r="B17" i="3"/>
  <c r="K60" i="3"/>
  <c r="J72" i="3"/>
  <c r="L99" i="3"/>
  <c r="G101" i="3"/>
  <c r="E79" i="7"/>
  <c r="J79" i="7" s="1"/>
  <c r="L79" i="7" s="1"/>
  <c r="E80" i="7"/>
  <c r="J80" i="7" s="1"/>
  <c r="L80" i="7" s="1"/>
  <c r="E81" i="7"/>
  <c r="J81" i="7" s="1"/>
  <c r="L81" i="7" s="1"/>
  <c r="E82" i="7"/>
  <c r="J82" i="7" s="1"/>
  <c r="L82" i="7" s="1"/>
  <c r="E83" i="7"/>
  <c r="J83" i="7" s="1"/>
  <c r="L83" i="7" s="1"/>
  <c r="E84" i="7"/>
  <c r="J84" i="7" s="1"/>
  <c r="L84" i="7" s="1"/>
  <c r="E85" i="7"/>
  <c r="J85" i="7" s="1"/>
  <c r="L85" i="7" s="1"/>
  <c r="E86" i="7"/>
  <c r="J86" i="7" s="1"/>
  <c r="L86" i="7" s="1"/>
  <c r="E87" i="7"/>
  <c r="J87" i="7" s="1"/>
  <c r="L87" i="7" s="1"/>
  <c r="E88" i="7"/>
  <c r="J88" i="7" s="1"/>
  <c r="L88" i="7" s="1"/>
  <c r="E89" i="7"/>
  <c r="J89" i="7" s="1"/>
  <c r="L89" i="7" s="1"/>
  <c r="E90" i="7"/>
  <c r="J90" i="7" s="1"/>
  <c r="L90" i="7" s="1"/>
  <c r="E93" i="7"/>
  <c r="J93" i="7" s="1"/>
  <c r="L93" i="7" s="1"/>
  <c r="E98" i="7"/>
  <c r="J98" i="7" s="1"/>
  <c r="L98" i="7" s="1"/>
  <c r="E91" i="7"/>
  <c r="J91" i="7" s="1"/>
  <c r="L91" i="7" s="1"/>
  <c r="E92" i="7"/>
  <c r="J92" i="7" s="1"/>
  <c r="L92" i="7" s="1"/>
  <c r="E94" i="7"/>
  <c r="J94" i="7" s="1"/>
  <c r="L94" i="7" s="1"/>
  <c r="E95" i="7"/>
  <c r="J95" i="7" s="1"/>
  <c r="L95" i="7" s="1"/>
  <c r="E96" i="7"/>
  <c r="J96" i="7" s="1"/>
  <c r="L96" i="7" s="1"/>
  <c r="E97" i="7"/>
  <c r="J97" i="7" s="1"/>
  <c r="L97" i="7" s="1"/>
  <c r="I72" i="7"/>
  <c r="I72" i="3"/>
  <c r="D79" i="8" l="1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B20" i="8"/>
  <c r="B22" i="8" s="1"/>
  <c r="C22" i="8" s="1"/>
  <c r="B21" i="8"/>
  <c r="C21" i="8" s="1"/>
  <c r="K72" i="8"/>
  <c r="G21" i="9"/>
  <c r="E18" i="1"/>
  <c r="O33" i="2"/>
  <c r="C109" i="8"/>
  <c r="F21" i="9"/>
  <c r="M33" i="2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8" i="7"/>
  <c r="D92" i="7"/>
  <c r="D93" i="7"/>
  <c r="D94" i="7"/>
  <c r="D95" i="7"/>
  <c r="D96" i="7"/>
  <c r="D97" i="7"/>
  <c r="B20" i="7"/>
  <c r="B22" i="7" s="1"/>
  <c r="C22" i="7" s="1"/>
  <c r="B21" i="7"/>
  <c r="C21" i="7" s="1"/>
  <c r="K72" i="7"/>
  <c r="G20" i="9"/>
  <c r="O32" i="2"/>
  <c r="E17" i="1"/>
  <c r="K72" i="6"/>
  <c r="G19" i="9"/>
  <c r="E16" i="1"/>
  <c r="O31" i="2"/>
  <c r="D79" i="6"/>
  <c r="D80" i="6"/>
  <c r="D81" i="6"/>
  <c r="D84" i="6"/>
  <c r="D82" i="6"/>
  <c r="D83" i="6"/>
  <c r="D96" i="6"/>
  <c r="D85" i="6"/>
  <c r="D91" i="6"/>
  <c r="D92" i="6"/>
  <c r="D86" i="6"/>
  <c r="D87" i="6"/>
  <c r="D88" i="6"/>
  <c r="D89" i="6"/>
  <c r="D90" i="6"/>
  <c r="D93" i="6"/>
  <c r="D94" i="6"/>
  <c r="D95" i="6"/>
  <c r="D97" i="6"/>
  <c r="D98" i="6"/>
  <c r="B20" i="6"/>
  <c r="B22" i="6" s="1"/>
  <c r="C22" i="6" s="1"/>
  <c r="B21" i="6"/>
  <c r="C21" i="6" s="1"/>
  <c r="M31" i="2"/>
  <c r="F19" i="9"/>
  <c r="C109" i="6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B20" i="5"/>
  <c r="B22" i="5" s="1"/>
  <c r="C22" i="5" s="1"/>
  <c r="B21" i="5"/>
  <c r="C21" i="5" s="1"/>
  <c r="K72" i="5"/>
  <c r="G18" i="9"/>
  <c r="E15" i="1"/>
  <c r="O30" i="2"/>
  <c r="C109" i="5"/>
  <c r="F18" i="9"/>
  <c r="M30" i="2"/>
  <c r="D79" i="4"/>
  <c r="D80" i="4"/>
  <c r="D81" i="4"/>
  <c r="D82" i="4"/>
  <c r="D83" i="4"/>
  <c r="D84" i="4"/>
  <c r="D86" i="4"/>
  <c r="D88" i="4"/>
  <c r="D89" i="4"/>
  <c r="D90" i="4"/>
  <c r="D91" i="4"/>
  <c r="D92" i="4"/>
  <c r="D93" i="4"/>
  <c r="D94" i="4"/>
  <c r="D95" i="4"/>
  <c r="D96" i="4"/>
  <c r="D97" i="4"/>
  <c r="D98" i="4"/>
  <c r="D85" i="4"/>
  <c r="D87" i="4"/>
  <c r="B20" i="4"/>
  <c r="B22" i="4" s="1"/>
  <c r="C22" i="4" s="1"/>
  <c r="B21" i="4"/>
  <c r="C21" i="4" s="1"/>
  <c r="K72" i="4"/>
  <c r="E14" i="1"/>
  <c r="G17" i="9"/>
  <c r="O29" i="2"/>
  <c r="C109" i="4"/>
  <c r="F17" i="9"/>
  <c r="M29" i="2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B20" i="3"/>
  <c r="B22" i="3" s="1"/>
  <c r="C22" i="3" s="1"/>
  <c r="B21" i="3"/>
  <c r="K72" i="3"/>
  <c r="E13" i="1"/>
  <c r="O28" i="2"/>
  <c r="G16" i="9"/>
  <c r="C109" i="3"/>
  <c r="M28" i="2"/>
  <c r="F16" i="9"/>
  <c r="L99" i="7"/>
  <c r="G101" i="7"/>
  <c r="G79" i="8" l="1"/>
  <c r="H79" i="8"/>
  <c r="K79" i="8"/>
  <c r="P33" i="2" s="1"/>
  <c r="G80" i="8"/>
  <c r="H80" i="8"/>
  <c r="K80" i="8"/>
  <c r="G81" i="8"/>
  <c r="H81" i="8"/>
  <c r="K81" i="8"/>
  <c r="G82" i="8"/>
  <c r="H82" i="8"/>
  <c r="K82" i="8"/>
  <c r="G83" i="8"/>
  <c r="H83" i="8"/>
  <c r="K83" i="8"/>
  <c r="G84" i="8"/>
  <c r="H84" i="8"/>
  <c r="K84" i="8"/>
  <c r="G85" i="8"/>
  <c r="H85" i="8"/>
  <c r="K85" i="8"/>
  <c r="G86" i="8"/>
  <c r="H86" i="8"/>
  <c r="K86" i="8"/>
  <c r="G87" i="8"/>
  <c r="H87" i="8"/>
  <c r="K87" i="8"/>
  <c r="G88" i="8"/>
  <c r="H88" i="8"/>
  <c r="K88" i="8"/>
  <c r="G89" i="8"/>
  <c r="H89" i="8"/>
  <c r="K89" i="8"/>
  <c r="G90" i="8"/>
  <c r="H90" i="8"/>
  <c r="K90" i="8"/>
  <c r="G91" i="8"/>
  <c r="H91" i="8"/>
  <c r="K91" i="8"/>
  <c r="G92" i="8"/>
  <c r="H92" i="8"/>
  <c r="K92" i="8"/>
  <c r="G93" i="8"/>
  <c r="H93" i="8"/>
  <c r="K93" i="8"/>
  <c r="G94" i="8"/>
  <c r="H94" i="8"/>
  <c r="K94" i="8"/>
  <c r="G95" i="8"/>
  <c r="H95" i="8"/>
  <c r="K95" i="8"/>
  <c r="G96" i="8"/>
  <c r="H96" i="8"/>
  <c r="K96" i="8"/>
  <c r="G97" i="8"/>
  <c r="H97" i="8"/>
  <c r="K97" i="8"/>
  <c r="G98" i="8"/>
  <c r="H98" i="8"/>
  <c r="K98" i="8"/>
  <c r="H21" i="9"/>
  <c r="F18" i="1"/>
  <c r="G79" i="7"/>
  <c r="H79" i="7"/>
  <c r="K79" i="7"/>
  <c r="P32" i="2" s="1"/>
  <c r="G80" i="7"/>
  <c r="H80" i="7"/>
  <c r="K80" i="7"/>
  <c r="G81" i="7"/>
  <c r="H81" i="7"/>
  <c r="K81" i="7"/>
  <c r="G82" i="7"/>
  <c r="H82" i="7"/>
  <c r="K82" i="7"/>
  <c r="G83" i="7"/>
  <c r="H83" i="7"/>
  <c r="K83" i="7"/>
  <c r="G84" i="7"/>
  <c r="H84" i="7"/>
  <c r="K84" i="7"/>
  <c r="G85" i="7"/>
  <c r="H85" i="7"/>
  <c r="K85" i="7"/>
  <c r="G86" i="7"/>
  <c r="H86" i="7"/>
  <c r="K86" i="7"/>
  <c r="G87" i="7"/>
  <c r="H87" i="7"/>
  <c r="K87" i="7"/>
  <c r="G88" i="7"/>
  <c r="H88" i="7"/>
  <c r="K88" i="7"/>
  <c r="G89" i="7"/>
  <c r="H89" i="7"/>
  <c r="K89" i="7"/>
  <c r="G90" i="7"/>
  <c r="H90" i="7"/>
  <c r="K90" i="7"/>
  <c r="G91" i="7"/>
  <c r="H91" i="7"/>
  <c r="K91" i="7"/>
  <c r="G98" i="7"/>
  <c r="H98" i="7"/>
  <c r="K98" i="7"/>
  <c r="G92" i="7"/>
  <c r="H92" i="7"/>
  <c r="K92" i="7"/>
  <c r="G93" i="7"/>
  <c r="H93" i="7"/>
  <c r="K93" i="7"/>
  <c r="G94" i="7"/>
  <c r="H94" i="7"/>
  <c r="K94" i="7"/>
  <c r="G95" i="7"/>
  <c r="H95" i="7"/>
  <c r="K95" i="7"/>
  <c r="G96" i="7"/>
  <c r="H96" i="7"/>
  <c r="K96" i="7"/>
  <c r="G97" i="7"/>
  <c r="H97" i="7"/>
  <c r="K97" i="7"/>
  <c r="H20" i="9"/>
  <c r="F17" i="1"/>
  <c r="G79" i="6"/>
  <c r="H79" i="6"/>
  <c r="K79" i="6"/>
  <c r="P31" i="2" s="1"/>
  <c r="G80" i="6"/>
  <c r="H80" i="6"/>
  <c r="K80" i="6"/>
  <c r="G81" i="6"/>
  <c r="K81" i="6"/>
  <c r="H81" i="6"/>
  <c r="G84" i="6"/>
  <c r="H84" i="6"/>
  <c r="K84" i="6"/>
  <c r="G82" i="6"/>
  <c r="K82" i="6"/>
  <c r="H82" i="6"/>
  <c r="G83" i="6"/>
  <c r="H83" i="6"/>
  <c r="K83" i="6"/>
  <c r="G96" i="6"/>
  <c r="K96" i="6"/>
  <c r="H96" i="6"/>
  <c r="G85" i="6"/>
  <c r="H85" i="6"/>
  <c r="K85" i="6"/>
  <c r="G91" i="6"/>
  <c r="H91" i="6"/>
  <c r="K91" i="6"/>
  <c r="G92" i="6"/>
  <c r="H92" i="6"/>
  <c r="K92" i="6"/>
  <c r="G86" i="6"/>
  <c r="H86" i="6"/>
  <c r="K86" i="6"/>
  <c r="G87" i="6"/>
  <c r="H87" i="6"/>
  <c r="K87" i="6"/>
  <c r="G88" i="6"/>
  <c r="K88" i="6"/>
  <c r="H88" i="6"/>
  <c r="G89" i="6"/>
  <c r="K89" i="6"/>
  <c r="H89" i="6"/>
  <c r="G90" i="6"/>
  <c r="K90" i="6"/>
  <c r="H90" i="6"/>
  <c r="G93" i="6"/>
  <c r="H93" i="6"/>
  <c r="K93" i="6"/>
  <c r="G94" i="6"/>
  <c r="H94" i="6"/>
  <c r="K94" i="6"/>
  <c r="G95" i="6"/>
  <c r="K95" i="6"/>
  <c r="H95" i="6"/>
  <c r="G97" i="6"/>
  <c r="H97" i="6"/>
  <c r="K97" i="6"/>
  <c r="G98" i="6"/>
  <c r="K98" i="6"/>
  <c r="H98" i="6"/>
  <c r="H19" i="9"/>
  <c r="F16" i="1"/>
  <c r="G79" i="5"/>
  <c r="H79" i="5"/>
  <c r="K79" i="5"/>
  <c r="P30" i="2" s="1"/>
  <c r="G80" i="5"/>
  <c r="H80" i="5"/>
  <c r="K80" i="5"/>
  <c r="G81" i="5"/>
  <c r="H81" i="5"/>
  <c r="K81" i="5"/>
  <c r="G82" i="5"/>
  <c r="H82" i="5"/>
  <c r="K82" i="5"/>
  <c r="G83" i="5"/>
  <c r="H83" i="5"/>
  <c r="K83" i="5"/>
  <c r="G84" i="5"/>
  <c r="H84" i="5"/>
  <c r="K84" i="5"/>
  <c r="G85" i="5"/>
  <c r="H85" i="5"/>
  <c r="K85" i="5"/>
  <c r="G86" i="5"/>
  <c r="H86" i="5"/>
  <c r="K86" i="5"/>
  <c r="G87" i="5"/>
  <c r="H87" i="5"/>
  <c r="K87" i="5"/>
  <c r="G88" i="5"/>
  <c r="H88" i="5"/>
  <c r="K88" i="5"/>
  <c r="G89" i="5"/>
  <c r="H89" i="5"/>
  <c r="K89" i="5"/>
  <c r="G90" i="5"/>
  <c r="H90" i="5"/>
  <c r="K90" i="5"/>
  <c r="G91" i="5"/>
  <c r="H91" i="5"/>
  <c r="K91" i="5"/>
  <c r="G92" i="5"/>
  <c r="H92" i="5"/>
  <c r="K92" i="5"/>
  <c r="G93" i="5"/>
  <c r="H93" i="5"/>
  <c r="K93" i="5"/>
  <c r="G94" i="5"/>
  <c r="H94" i="5"/>
  <c r="K94" i="5"/>
  <c r="G95" i="5"/>
  <c r="H95" i="5"/>
  <c r="K95" i="5"/>
  <c r="G96" i="5"/>
  <c r="H96" i="5"/>
  <c r="K96" i="5"/>
  <c r="G97" i="5"/>
  <c r="H97" i="5"/>
  <c r="K97" i="5"/>
  <c r="G98" i="5"/>
  <c r="H98" i="5"/>
  <c r="K98" i="5"/>
  <c r="F15" i="1"/>
  <c r="H18" i="9"/>
  <c r="G79" i="4"/>
  <c r="H79" i="4"/>
  <c r="K79" i="4"/>
  <c r="P29" i="2" s="1"/>
  <c r="G80" i="4"/>
  <c r="H80" i="4"/>
  <c r="K80" i="4"/>
  <c r="G81" i="4"/>
  <c r="H81" i="4"/>
  <c r="K81" i="4"/>
  <c r="G82" i="4"/>
  <c r="H82" i="4"/>
  <c r="K82" i="4"/>
  <c r="G83" i="4"/>
  <c r="H83" i="4"/>
  <c r="K83" i="4"/>
  <c r="G84" i="4"/>
  <c r="H84" i="4"/>
  <c r="K84" i="4"/>
  <c r="G86" i="4"/>
  <c r="H86" i="4"/>
  <c r="K86" i="4"/>
  <c r="G88" i="4"/>
  <c r="H88" i="4"/>
  <c r="K88" i="4"/>
  <c r="G89" i="4"/>
  <c r="H89" i="4"/>
  <c r="K89" i="4"/>
  <c r="G90" i="4"/>
  <c r="H90" i="4"/>
  <c r="K90" i="4"/>
  <c r="G91" i="4"/>
  <c r="H91" i="4"/>
  <c r="K91" i="4"/>
  <c r="G92" i="4"/>
  <c r="H92" i="4"/>
  <c r="K92" i="4"/>
  <c r="G93" i="4"/>
  <c r="H93" i="4"/>
  <c r="K93" i="4"/>
  <c r="G94" i="4"/>
  <c r="H94" i="4"/>
  <c r="K94" i="4"/>
  <c r="G95" i="4"/>
  <c r="H95" i="4"/>
  <c r="K95" i="4"/>
  <c r="G96" i="4"/>
  <c r="H96" i="4"/>
  <c r="K96" i="4"/>
  <c r="G97" i="4"/>
  <c r="H97" i="4"/>
  <c r="K97" i="4"/>
  <c r="G98" i="4"/>
  <c r="H98" i="4"/>
  <c r="K98" i="4"/>
  <c r="G85" i="4"/>
  <c r="H85" i="4"/>
  <c r="K85" i="4"/>
  <c r="G87" i="4"/>
  <c r="H87" i="4"/>
  <c r="K87" i="4"/>
  <c r="F14" i="1"/>
  <c r="H17" i="9"/>
  <c r="G79" i="3"/>
  <c r="H79" i="3"/>
  <c r="K79" i="3"/>
  <c r="P28" i="2" s="1"/>
  <c r="D5" i="10"/>
  <c r="G80" i="3"/>
  <c r="H80" i="3"/>
  <c r="K80" i="3"/>
  <c r="D6" i="10"/>
  <c r="G81" i="3"/>
  <c r="H81" i="3"/>
  <c r="K81" i="3"/>
  <c r="D7" i="10"/>
  <c r="G82" i="3"/>
  <c r="H82" i="3"/>
  <c r="K82" i="3"/>
  <c r="D8" i="10"/>
  <c r="G83" i="3"/>
  <c r="H83" i="3"/>
  <c r="K83" i="3"/>
  <c r="D9" i="10"/>
  <c r="G84" i="3"/>
  <c r="H84" i="3"/>
  <c r="K84" i="3"/>
  <c r="D10" i="10"/>
  <c r="G85" i="3"/>
  <c r="H85" i="3"/>
  <c r="K85" i="3"/>
  <c r="D11" i="10"/>
  <c r="G86" i="3"/>
  <c r="H86" i="3"/>
  <c r="K86" i="3"/>
  <c r="D12" i="10"/>
  <c r="G87" i="3"/>
  <c r="H87" i="3"/>
  <c r="K87" i="3"/>
  <c r="D13" i="10"/>
  <c r="G88" i="3"/>
  <c r="H88" i="3"/>
  <c r="K88" i="3"/>
  <c r="D14" i="10"/>
  <c r="G89" i="3"/>
  <c r="H89" i="3"/>
  <c r="K89" i="3"/>
  <c r="D15" i="10"/>
  <c r="G90" i="3"/>
  <c r="H90" i="3"/>
  <c r="K90" i="3"/>
  <c r="D16" i="10"/>
  <c r="G91" i="3"/>
  <c r="H91" i="3"/>
  <c r="K91" i="3"/>
  <c r="D17" i="10"/>
  <c r="G92" i="3"/>
  <c r="H92" i="3"/>
  <c r="K92" i="3"/>
  <c r="D18" i="10"/>
  <c r="G93" i="3"/>
  <c r="H93" i="3"/>
  <c r="K93" i="3"/>
  <c r="D19" i="10"/>
  <c r="G94" i="3"/>
  <c r="H94" i="3"/>
  <c r="K94" i="3"/>
  <c r="D20" i="10"/>
  <c r="G95" i="3"/>
  <c r="H95" i="3"/>
  <c r="K95" i="3"/>
  <c r="D21" i="10"/>
  <c r="G96" i="3"/>
  <c r="H96" i="3"/>
  <c r="K96" i="3"/>
  <c r="D22" i="10"/>
  <c r="G97" i="3"/>
  <c r="H97" i="3"/>
  <c r="K97" i="3"/>
  <c r="D23" i="10"/>
  <c r="G98" i="3"/>
  <c r="H98" i="3"/>
  <c r="K98" i="3"/>
  <c r="D24" i="10"/>
  <c r="E6" i="1"/>
  <c r="G9" i="1" s="1"/>
  <c r="C21" i="3"/>
  <c r="M32" i="2"/>
  <c r="F20" i="9"/>
  <c r="C109" i="7"/>
  <c r="E19" i="1"/>
  <c r="O34" i="2"/>
  <c r="G22" i="9"/>
  <c r="E6" i="10" l="1"/>
  <c r="G6" i="10"/>
  <c r="F7" i="10"/>
  <c r="F8" i="10"/>
  <c r="F9" i="10"/>
  <c r="E5" i="10"/>
  <c r="F6" i="10"/>
  <c r="G7" i="10"/>
  <c r="E8" i="10"/>
  <c r="G8" i="10"/>
  <c r="E9" i="10"/>
  <c r="E7" i="10"/>
  <c r="G100" i="8"/>
  <c r="K100" i="8"/>
  <c r="H99" i="8"/>
  <c r="B108" i="8" s="1"/>
  <c r="B107" i="8"/>
  <c r="B21" i="9"/>
  <c r="K99" i="8"/>
  <c r="Q33" i="2" s="1"/>
  <c r="K101" i="8"/>
  <c r="C107" i="8"/>
  <c r="C108" i="8"/>
  <c r="E21" i="9"/>
  <c r="J18" i="1"/>
  <c r="K100" i="7"/>
  <c r="G100" i="7"/>
  <c r="H99" i="7"/>
  <c r="B108" i="7" s="1"/>
  <c r="B107" i="7"/>
  <c r="B20" i="9"/>
  <c r="K99" i="7"/>
  <c r="Q32" i="2" s="1"/>
  <c r="K101" i="7"/>
  <c r="C107" i="7"/>
  <c r="C108" i="7"/>
  <c r="E20" i="9"/>
  <c r="J17" i="1"/>
  <c r="K100" i="6"/>
  <c r="G100" i="6"/>
  <c r="H99" i="6"/>
  <c r="B108" i="6" s="1"/>
  <c r="B107" i="6"/>
  <c r="B19" i="9"/>
  <c r="K101" i="6"/>
  <c r="C108" i="6"/>
  <c r="E19" i="9"/>
  <c r="J16" i="1"/>
  <c r="K99" i="6"/>
  <c r="Q31" i="2" s="1"/>
  <c r="C107" i="6"/>
  <c r="G100" i="5"/>
  <c r="K100" i="5"/>
  <c r="H99" i="5"/>
  <c r="B108" i="5" s="1"/>
  <c r="B107" i="5"/>
  <c r="B18" i="9"/>
  <c r="K99" i="5"/>
  <c r="Q30" i="2" s="1"/>
  <c r="K101" i="5"/>
  <c r="C107" i="5"/>
  <c r="C108" i="5"/>
  <c r="J15" i="1"/>
  <c r="E18" i="9"/>
  <c r="G100" i="4"/>
  <c r="K100" i="4"/>
  <c r="H99" i="4"/>
  <c r="B108" i="4" s="1"/>
  <c r="B107" i="4"/>
  <c r="B17" i="9"/>
  <c r="K99" i="4"/>
  <c r="Q29" i="2" s="1"/>
  <c r="K101" i="4"/>
  <c r="C107" i="4"/>
  <c r="C108" i="4"/>
  <c r="J14" i="1"/>
  <c r="E17" i="9"/>
  <c r="K100" i="3"/>
  <c r="G100" i="3"/>
  <c r="B107" i="3"/>
  <c r="H99" i="3"/>
  <c r="B108" i="3" s="1"/>
  <c r="B16" i="9"/>
  <c r="F5" i="10"/>
  <c r="H5" i="10" s="1"/>
  <c r="K101" i="3"/>
  <c r="C107" i="3"/>
  <c r="C108" i="3"/>
  <c r="K99" i="3"/>
  <c r="Q28" i="2" s="1"/>
  <c r="J13" i="1"/>
  <c r="E16" i="9"/>
  <c r="G5" i="10"/>
  <c r="I5" i="10" s="1"/>
  <c r="F13" i="1"/>
  <c r="H16" i="9"/>
  <c r="G9" i="10"/>
  <c r="E10" i="10"/>
  <c r="F10" i="10"/>
  <c r="G10" i="10"/>
  <c r="E11" i="10"/>
  <c r="F11" i="10"/>
  <c r="G11" i="10"/>
  <c r="E12" i="10"/>
  <c r="F12" i="10"/>
  <c r="G12" i="10"/>
  <c r="E13" i="10"/>
  <c r="F13" i="10"/>
  <c r="G13" i="10"/>
  <c r="E14" i="10"/>
  <c r="F14" i="10"/>
  <c r="G14" i="10"/>
  <c r="E15" i="10"/>
  <c r="F15" i="10"/>
  <c r="G15" i="10"/>
  <c r="E16" i="10"/>
  <c r="F16" i="10"/>
  <c r="G16" i="10"/>
  <c r="E17" i="10"/>
  <c r="F17" i="10"/>
  <c r="G17" i="10"/>
  <c r="E18" i="10"/>
  <c r="F18" i="10"/>
  <c r="G18" i="10"/>
  <c r="E19" i="10"/>
  <c r="F19" i="10"/>
  <c r="G19" i="10"/>
  <c r="E20" i="10"/>
  <c r="F20" i="10"/>
  <c r="G20" i="10"/>
  <c r="E21" i="10"/>
  <c r="F21" i="10"/>
  <c r="G21" i="10"/>
  <c r="E22" i="10"/>
  <c r="F22" i="10"/>
  <c r="G22" i="10"/>
  <c r="E23" i="10"/>
  <c r="F23" i="10"/>
  <c r="G23" i="10"/>
  <c r="E24" i="10"/>
  <c r="F24" i="10"/>
  <c r="G24" i="10"/>
  <c r="H6" i="10" l="1"/>
  <c r="H7" i="10" s="1"/>
  <c r="H8" i="10" s="1"/>
  <c r="H9" i="10" s="1"/>
  <c r="I6" i="10"/>
  <c r="I7" i="10" s="1"/>
  <c r="I8" i="10" s="1"/>
  <c r="B22" i="9"/>
  <c r="C9" i="1" s="1"/>
  <c r="H10" i="10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18" i="1"/>
  <c r="N33" i="2"/>
  <c r="D21" i="9"/>
  <c r="B109" i="8"/>
  <c r="N32" i="2"/>
  <c r="H17" i="1"/>
  <c r="D20" i="9"/>
  <c r="B109" i="7"/>
  <c r="B109" i="6"/>
  <c r="H16" i="1"/>
  <c r="N31" i="2"/>
  <c r="D19" i="9"/>
  <c r="N30" i="2"/>
  <c r="H15" i="1"/>
  <c r="D18" i="9"/>
  <c r="B109" i="5"/>
  <c r="H14" i="1"/>
  <c r="D17" i="9"/>
  <c r="N29" i="2"/>
  <c r="B109" i="4"/>
  <c r="D16" i="9"/>
  <c r="N28" i="2"/>
  <c r="H13" i="1"/>
  <c r="B109" i="3"/>
  <c r="J19" i="1"/>
  <c r="E22" i="9"/>
  <c r="E9" i="1" s="1"/>
  <c r="I9" i="10" l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22" i="10" s="1"/>
  <c r="I23" i="10" s="1"/>
  <c r="I24" i="10" s="1"/>
  <c r="I25" i="10" s="1"/>
  <c r="H21" i="10"/>
  <c r="H22" i="10" s="1"/>
  <c r="H23" i="10" s="1"/>
  <c r="H24" i="10" s="1"/>
  <c r="H25" i="10" s="1"/>
</calcChain>
</file>

<file path=xl/sharedStrings.xml><?xml version="1.0" encoding="utf-8"?>
<sst xmlns="http://schemas.openxmlformats.org/spreadsheetml/2006/main" count="1029" uniqueCount="289">
  <si>
    <t>GEPP — SOLUCIÓN ENERGÉTICA · ESCENARIO: Proplasa techo 3.15 MW · Resumen Ejecutivo</t>
  </si>
  <si>
    <t>ESCENARIO: el techo TOTAL de Proplasa (PR1+PR2+TAP) se limita a 3.15 MW por falta de espacio (vs 10.51 MW sin límite). RECOMENDACIÓN PRIORIZADA: COMPRAR — conserva el 100% del ahorro para GEPP (más que el PPA). Cifras PRE-IVA, motor determinista. Grado prefactibilidad.</t>
  </si>
  <si>
    <t>INDICADORES CLAVE (PRE-IVA, año 1)</t>
  </si>
  <si>
    <t>Gasto eléctrico actual 2025 (CFE+autoabasto)</t>
  </si>
  <si>
    <t>Ahorro autoabasto (Tala+ENEL)</t>
  </si>
  <si>
    <t>Ahorro PV+BESS+FP (proyecto)</t>
  </si>
  <si>
    <t>Generación solar kWh/año</t>
  </si>
  <si>
    <t>Inversión total (compra)</t>
  </si>
  <si>
    <t>Beneficio GEPP año 1 (compra)</t>
  </si>
  <si>
    <t>Beneficio cliente año 1 (PPA)</t>
  </si>
  <si>
    <t>Ahorro proyecto % vs gasto actual</t>
  </si>
  <si>
    <t>RECOMENDACIÓN POR PROYECTO</t>
  </si>
  <si>
    <t>Sitio</t>
  </si>
  <si>
    <t>Consumo GWh/a</t>
  </si>
  <si>
    <t>Solución</t>
  </si>
  <si>
    <t>Régimen LSE</t>
  </si>
  <si>
    <t>Ahorro bruto a1</t>
  </si>
  <si>
    <t>Ahorro %</t>
  </si>
  <si>
    <t>Inversión</t>
  </si>
  <si>
    <t>TIR compra</t>
  </si>
  <si>
    <t>PPA $/kWh</t>
  </si>
  <si>
    <t>Benef. PPA a1</t>
  </si>
  <si>
    <t>Ixtlahuacán</t>
  </si>
  <si>
    <t>PV 2.5 MWp + BESS 850 kW</t>
  </si>
  <si>
    <t>Autoconsumo CNE</t>
  </si>
  <si>
    <t>Acapulco</t>
  </si>
  <si>
    <t>FP + PV 1.0 MWp + BESS 320 kW</t>
  </si>
  <si>
    <t>Cancún</t>
  </si>
  <si>
    <t>FP + PV 0.7 MWp (sin BESS)</t>
  </si>
  <si>
    <t>Exento &lt;0.7 MW</t>
  </si>
  <si>
    <t>Proplasa PR1</t>
  </si>
  <si>
    <t>PV 0.56 MWp + BESS 360 kW</t>
  </si>
  <si>
    <t>Proplasa PR2</t>
  </si>
  <si>
    <t>PV 1.57 MWp + BESS 1.22 MW</t>
  </si>
  <si>
    <t>Proplasa Tapas</t>
  </si>
  <si>
    <t>PV 1.03 MWp + BESS 790 kW</t>
  </si>
  <si>
    <t>PORTAFOLIO</t>
  </si>
  <si>
    <t>Comprar maximiza el ahorro de GEPP (TIR 28-44%); el PPA/ahorro compartido es la vía sin inversión. Variables por proyecto (PPA $/kWh, plazo, costo PV/BESS) en la hoja Supuestos — todo recalcula en vivo.</t>
  </si>
  <si>
    <t>AUTOABASTO Y EL ESCALÓN 2032</t>
  </si>
  <si>
    <t>En 2025 GEPP pagó $294.6M (CFE + Tala/ENEL); a tarifa CFE plena sería $316.2M — el autoabasto ahorra ~$21.6M/año PERO VENCE 2032. ENEL ya colapsó en 2026 (Proplasa ~85% CFE), así que gran parte del salto ya ocurrió. El PV/BESS reemplaza ese ahorro con generación propia que NO expira y se vuelve más valiosa conforme sube la tarifa CFE.</t>
  </si>
  <si>
    <t>SUPUESTOS — CONTROL EN VIVO · ESCENARIO Proplasa techo 3.15 MW (PR1 557 + PR2 1,565 + TAP 1,028 kWp). Edita AZUL; recalcula todo.</t>
  </si>
  <si>
    <t>Cifras PRE-IVA (el IVA es acreditable para GEPP). Mecánica tarifaria = fuente primaria; ahorros = motor determinista; costos/escalaciones/PPA = supuestos.</t>
  </si>
  <si>
    <t>Parámetro</t>
  </si>
  <si>
    <t>Valor</t>
  </si>
  <si>
    <t>Nota / Fuente</t>
  </si>
  <si>
    <t>EPC PV (USD/Wp)</t>
  </si>
  <si>
    <t>Llave en mano CC; supuesto MX 2026</t>
  </si>
  <si>
    <t>Tipo de cambio (MXN/USD)</t>
  </si>
  <si>
    <t>Supuesto</t>
  </si>
  <si>
    <t>EPC BESS (USD/kWh)</t>
  </si>
  <si>
    <t>LFP instalado</t>
  </si>
  <si>
    <t>WACC / descuento</t>
  </si>
  <si>
    <t>Para VPN</t>
  </si>
  <si>
    <t>Escalación CFE / año</t>
  </si>
  <si>
    <t>Conservador (tarifa sube)</t>
  </si>
  <si>
    <t>Escalación PPA / año</t>
  </si>
  <si>
    <t>&lt; CFE → brecha a favor del cliente</t>
  </si>
  <si>
    <t>Disponibilidad (sobre ahorro BESS)</t>
  </si>
  <si>
    <t>Supuesto de downtime</t>
  </si>
  <si>
    <t>Degradación PV / año</t>
  </si>
  <si>
    <t>TOPCon/HJT</t>
  </si>
  <si>
    <t>Degradación BESS / año</t>
  </si>
  <si>
    <t>LFP</t>
  </si>
  <si>
    <t>TIR financiador objetivo</t>
  </si>
  <si>
    <t>Negociable (14–18%); las tarifas PPA semilla resuelven 18%</t>
  </si>
  <si>
    <t>Comisión BESS financiador (default)</t>
  </si>
  <si>
    <t>Ahorro compartido (override por proyecto abajo)</t>
  </si>
  <si>
    <t>Horizonte (años)</t>
  </si>
  <si>
    <t>Proyección financiera</t>
  </si>
  <si>
    <t>FC (factor de carga umbral)</t>
  </si>
  <si>
    <t>A/158/2024 — [[demanda-facturable]]</t>
  </si>
  <si>
    <t>DoD batería</t>
  </si>
  <si>
    <t>Profundidad de descarga</t>
  </si>
  <si>
    <t>RTE batería (round-trip)</t>
  </si>
  <si>
    <t>Eficiencia de ciclo</t>
  </si>
  <si>
    <t>O&amp;M PV (MXN/kWp-año)</t>
  </si>
  <si>
    <t>O&amp;M BESS (MXN/kWh-año)</t>
  </si>
  <si>
    <t>Vencimiento autoabasto (año)</t>
  </si>
  <si>
    <t>Tala y ENEL expiran 2032 → escalón a CFE pleno</t>
  </si>
  <si>
    <t>Plazo PPA default (años)</t>
  </si>
  <si>
    <t>PV se transfiere al cliente al término (override por proyecto)</t>
  </si>
  <si>
    <t>Año de inicio del proyecto</t>
  </si>
  <si>
    <t>Para el escalón 2032</t>
  </si>
  <si>
    <t>B. VARIABLES POR PROYECTO (AZUL = editable) — afectan cada hoja de sitio, el Comparativo y la Proyección</t>
  </si>
  <si>
    <t>Proyecto</t>
  </si>
  <si>
    <t>PV kWp</t>
  </si>
  <si>
    <t>BESS kW</t>
  </si>
  <si>
    <t>BESS kWh</t>
  </si>
  <si>
    <t>FP corr</t>
  </si>
  <si>
    <t>PV USD/Wp</t>
  </si>
  <si>
    <t>BESS USD/kWh</t>
  </si>
  <si>
    <t>Capacitor capex $</t>
  </si>
  <si>
    <t>PPA plazo (años)</t>
  </si>
  <si>
    <t>Comisión BESS %</t>
  </si>
  <si>
    <t>TIR financiador</t>
  </si>
  <si>
    <t>Ahorro bruto/año $</t>
  </si>
  <si>
    <t>No</t>
  </si>
  <si>
    <t>Sí</t>
  </si>
  <si>
    <t>Las tarifas PPA semilla resuelven una TIR del financiador de 18% con plazo 15 años (PV se transfiere al cliente al término) + comisión BESS 20 años. Cambia cualquier celda azul y observa el efecto en vivo.</t>
  </si>
  <si>
    <t>IXTLAHUACÁN — Memoria de cálculo trazable y propuesta</t>
  </si>
  <si>
    <t>Medidor 455GR3 · GDMTH SIN · Demanda contratada 5,000 kW · AUTOCONSUMO interconectado (&gt;0.7 MW) — permiso SIMPLIFICADO CNE</t>
  </si>
  <si>
    <t>GEPP pide: Combinar autoabasto (Tala) con generación solar en sitio</t>
  </si>
  <si>
    <t>PARÁMETROS DEL SISTEMA (desde Supuestos — edítalos allí)</t>
  </si>
  <si>
    <t>Entrega útil kWh</t>
  </si>
  <si>
    <t>FP corr.</t>
  </si>
  <si>
    <t>Calib→recibo</t>
  </si>
  <si>
    <t>1. ESTRUCTURA DE COSTO Y AHORRO (2025, pre-IVA · datos del workbook GEPP + motor)</t>
  </si>
  <si>
    <t>Concepto</t>
  </si>
  <si>
    <t>$ / año</t>
  </si>
  <si>
    <t>$ / kWh</t>
  </si>
  <si>
    <t>kWh</t>
  </si>
  <si>
    <t>Nota</t>
  </si>
  <si>
    <t>CFE BRUTO = Tarifa Actual (todo a CFE pleno, sin autoabasto)</t>
  </si>
  <si>
    <t>Lo que pagarían 100% en CFE sin ENEL/Tala ni PV/BESS</t>
  </si>
  <si>
    <t>(−) Ahorro autoabasto (Tala (bagazo, zafra))</t>
  </si>
  <si>
    <t>Descuento Tala 10% (dato workbook)</t>
  </si>
  <si>
    <t>(=) Costo actual que paga GEPP hoy</t>
  </si>
  <si>
    <t xml:space="preserve">     › CFE (tarifa CFE plena)</t>
  </si>
  <si>
    <t xml:space="preserve">     › Tala (neto)</t>
  </si>
  <si>
    <t>Ahorros del proyecto (motor 2025, sobre la carga física):</t>
  </si>
  <si>
    <t>(−) Ahorro PV (energía intermedia + demanda vía umbral)</t>
  </si>
  <si>
    <t>Gen solar kWh/año →</t>
  </si>
  <si>
    <t>(−) Ahorro BESS (recorte de punta + arbitraje)</t>
  </si>
  <si>
    <t>(−) Ahorro FP (corrección factor de potencia)</t>
  </si>
  <si>
    <t>FP sano — sin multa</t>
  </si>
  <si>
    <t>(=) Costo neto con proyecto (hoy)</t>
  </si>
  <si>
    <t>Ahorro proyecto PV+BESS+FP (vs costo hoy)</t>
  </si>
  <si>
    <t>Ahorro TOTAL vs CFE bruto (incl. autoabasto+proyecto)</t>
  </si>
  <si>
    <t>2. CAPEX (fórmulas vivas desde Supuestos)</t>
  </si>
  <si>
    <t>CAPEX PV = kWp×1000×USD/Wp×FX</t>
  </si>
  <si>
    <t>CAPEX BESS = kWh×USD/kWh×FX</t>
  </si>
  <si>
    <t>CAPEX Capacitor FP (financiador en PPA)</t>
  </si>
  <si>
    <t>CAPEX TOTAL (compra)</t>
  </si>
  <si>
    <t>Bajo PPA, el capacitor lo paga el financiador → el cliente no desembolsa</t>
  </si>
  <si>
    <t>3. ENTRADAS MENSUALES (AZUL = datos del recibo / recurso 2025)</t>
  </si>
  <si>
    <t>Mes</t>
  </si>
  <si>
    <t>kWh Base</t>
  </si>
  <si>
    <t>kWh Int</t>
  </si>
  <si>
    <t>kWh Punta</t>
  </si>
  <si>
    <t>Días</t>
  </si>
  <si>
    <t>Dem Pta kW</t>
  </si>
  <si>
    <t>Dem Máx kW</t>
  </si>
  <si>
    <t>T.Int $</t>
  </si>
  <si>
    <t>T.Base $</t>
  </si>
  <si>
    <t>T.Pta $</t>
  </si>
  <si>
    <t>T.Cap $</t>
  </si>
  <si>
    <t>T.Dist $</t>
  </si>
  <si>
    <t>T.Fijo $</t>
  </si>
  <si>
    <t>Rend</t>
  </si>
  <si>
    <t>%AC</t>
  </si>
  <si>
    <t>HrsP</t>
  </si>
  <si>
    <t>DíasP</t>
  </si>
  <si>
    <t>Bonif FP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</si>
  <si>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</si>
  <si>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</si>
  <si>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</si>
  <si>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</si>
  <si>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</si>
  <si>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</si>
  <si>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</si>
  <si>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</si>
  <si>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</si>
  <si>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</si>
  <si>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</si>
  <si>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</si>
  <si>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4. CÁLCULO DE AHORRO MENSUAL (motor — fórmulas que referencian las ENTRADAS)</t>
  </si>
  <si>
    <t>Gen kWh</t>
  </si>
  <si>
    <t>Umbral kW</t>
  </si>
  <si>
    <t>Autocons</t>
  </si>
  <si>
    <t>Ah PV ener</t>
  </si>
  <si>
    <t>Umbral post</t>
  </si>
  <si>
    <t>Cap base</t>
  </si>
  <si>
    <t>Cap pre-B</t>
  </si>
  <si>
    <t>Ah PV dem</t>
  </si>
  <si>
    <t>Recorte BESS</t>
  </si>
  <si>
    <t>Cap post</t>
  </si>
  <si>
    <t>Ah BESS dem</t>
  </si>
  <si>
    <t>Desc kWh</t>
  </si>
  <si>
    <t>Arbitraje $</t>
  </si>
  <si>
    <t>Fac.AA</t>
  </si>
  <si>
    <t>mem $</t>
  </si>
  <si>
    <t>Ah PV+BESS</t>
  </si>
  <si>
    <t>Recorte BESS = MIN(kW batería, entrega útil ÷ HrsP). Desc = MIN(entrega×DíasP, kWh punta). Arbitraje carga en base y descarga en punta. Fac.AA aplica el descuento de zafra (sólo Ixtlahuacán, pre-2032).</t>
  </si>
  <si>
    <t>5. RESUMEN MENSUAL — Tarifa Actual (CFE pleno) / Ahorros / Costo con proyecto</t>
  </si>
  <si>
    <t>kWh Consumo</t>
  </si>
  <si>
    <t>Gen PV kWh</t>
  </si>
  <si>
    <t>BESS desc kWh</t>
  </si>
  <si>
    <t>Tarifa Actual $</t>
  </si>
  <si>
    <t>Ahorro PV $</t>
  </si>
  <si>
    <t>Ahorro BESS $</t>
  </si>
  <si>
    <t>Ahorro FP $</t>
  </si>
  <si>
    <t>Costo c/proyecto $</t>
  </si>
  <si>
    <t>Ahorro $</t>
  </si>
  <si>
    <t>TOTAL</t>
  </si>
  <si>
    <t>Tarifa Actual (Σ) = recibo a CFE pleno $55,226,961 (dato workbook GEPP, calibrado del motor ×1.033). Ahorro = motor (golden 18/18).</t>
  </si>
  <si>
    <t>6. PROYECCIÓN 20 AÑOS — Tarifa Actual con escalón 2032 · ahorros persisten · PPA se transfiere al cliente al término</t>
  </si>
  <si>
    <t>Bases año-0 (motor):</t>
  </si>
  <si>
    <t>PV con AA</t>
  </si>
  <si>
    <t>PV CFE pleno</t>
  </si>
  <si>
    <t>BESS</t>
  </si>
  <si>
    <t>FP</t>
  </si>
  <si>
    <t>Año</t>
  </si>
  <si>
    <t>Régimen</t>
  </si>
  <si>
    <t>Ah PV $</t>
  </si>
  <si>
    <t>Ah BESS $</t>
  </si>
  <si>
    <t>Ah FP $</t>
  </si>
  <si>
    <t>Costo c/proy $</t>
  </si>
  <si>
    <t>Flujo Compra $</t>
  </si>
  <si>
    <t>Pago PPA $</t>
  </si>
  <si>
    <t>Comisión $</t>
  </si>
  <si>
    <t>Flujo Cliente PPA $</t>
  </si>
  <si>
    <t>Flujo Financiador $</t>
  </si>
  <si>
    <t>Σ</t>
  </si>
  <si>
    <t>TIR compra:</t>
  </si>
  <si>
    <t>VPN compra @WACC:</t>
  </si>
  <si>
    <t>TIR financiador:</t>
  </si>
  <si>
    <t>VPN cliente PPA @WACC:</t>
  </si>
  <si>
    <t>Régimen: Autoabasto años 1-6 (2026-2031); CFE pleno desde 2032 (escalón en Tarifa Actual). El ahorro PV/BESS/FP persiste los 20 años; tras el plazo PPA el PV se transfiere a GEPP y conserva el 100% del ahorro.</t>
  </si>
  <si>
    <t>7. COMPRAR vs PPA / AHORRO COMPARTIDO</t>
  </si>
  <si>
    <t>Métrica</t>
  </si>
  <si>
    <t>GEPP COMPRA</t>
  </si>
  <si>
    <t>PPA / Ahorro compartido</t>
  </si>
  <si>
    <t>Inversión GEPP $</t>
  </si>
  <si>
    <t>Financiador funda todo (incl. capacitor)</t>
  </si>
  <si>
    <t>Beneficio GEPP año 1 $</t>
  </si>
  <si>
    <t>Beneficio 20 años acum. $</t>
  </si>
  <si>
    <t>TIR (proyecto / financiador)</t>
  </si>
  <si>
    <t>Tarifa PPA $/kWh (editable en Supuestos)</t>
  </si>
  <si>
    <t>—</t>
  </si>
  <si>
    <t>Plazo PPA años / PV se transfiere al cliente al término</t>
  </si>
  <si>
    <t>8. POR QUÉ ESTE DIMENSIONAMIENTO ES EL ÓPTIMO PARA ESTE SITIO</t>
  </si>
  <si>
    <t>PV 2,530 kWp se dimensiona al consumo intermedio diurno para autoconsumir sin exportar (&gt;0.7 MW ⇒ Autoconsumo CNE). El BESS 850 kW/1,700 kWh recorta el pico de punta — la única palanca de demanda facturable bajo el umbral — sin sobredimensionar (sólo paga donde hay pico de punta facturable). No compite con Tala (estacional, zafra); la complementa y cubre el escalón 2032 al expirar el autoabasto. Más PV exportaría sin crédito de demanda; más BESS no recortaría más punta. Es el punto donde el ahorro se maximiza sin capex ocioso.</t>
  </si>
  <si>
    <t>ACAPULCO — Memoria de cálculo trazable y propuesta</t>
  </si>
  <si>
    <t>Medidor MX096Y · GDMTH SIN · Demanda contratada 2,271 kW · AUTOCONSUMO interconectado (&gt;0.7 MW) — permiso SIMPLIFICADO CNE</t>
  </si>
  <si>
    <t>GEPP pide: Explorar PPA o Abasto Aislado</t>
  </si>
  <si>
    <t>(−) Ahorro autoabasto (—)</t>
  </si>
  <si>
    <t>Sin autoabasto</t>
  </si>
  <si>
    <t xml:space="preserve">     › sin autoabasto (100% CFE)</t>
  </si>
  <si>
    <t>Multa FP impresa en el recibo (dato duro)</t>
  </si>
  <si>
    <t>Tarifa Actual (Σ) = recibo a CFE pleno $28,256,362 (dato workbook GEPP, calibrado del motor ×1.074). Ahorro = motor (golden 18/18).</t>
  </si>
  <si>
    <t>FP es la palanca #1 (multa $1.7M/año por FP 85-86%, payback de meses, capex trivial $300k) — se hace primero, independiente de todo. PV 1,020 kWp cubre el consumo diurno; el BESS se mantiene chico (320 kW/640 kWh) porque el umbral satura la demanda facturable casi todo el año: una batería mayor no recortaría más demanda. TIR compra 42%. El trío FP+PV+BESS captura ~22% del recibo sin capex ocioso.</t>
  </si>
  <si>
    <t>CANCÚN — Memoria de cálculo trazable y propuesta</t>
  </si>
  <si>
    <t>Medidor 073EEK · GDMTH SIN · Demanda contratada 1,500 kW · GENERADOR EXENTO (&lt;0.7 MW) — Medición Neta, sin permiso</t>
  </si>
  <si>
    <t>Tarifa Actual (Σ) = recibo a CFE pleno $15,994,317 (dato workbook GEPP, calibrado del motor ×1.074). Ahorro = motor (golden 18/18).</t>
  </si>
  <si>
    <t>PV 699 kWp se mantiene DELIBERADAMENTE bajo 0.7 MW para calificar como generador EXENTO (medición neta, sin permiso CNE) — la vía más rápida y barata, y el mejor ROI de la cartera (TIR 44%). SIN BESS: el umbral satura 9/12 meses, así que una batería no recortaría demanda facturable y no se pagaría. FP corrige la multa (FP 89%). Subir el PV cruzaría a permiso y exportaría sin crédito: este tamaño es el óptimo regulatorio y económico.</t>
  </si>
  <si>
    <t>PROPLASA PR1 — Memoria de cálculo trazable y propuesta</t>
  </si>
  <si>
    <t>Medidor 806DYN · GDMTH SIN · Demanda contratada 2,600 kW · AUTOCONSUMO interconectado (&gt;0.7 MW) — permiso SIMPLIFICADO CNE</t>
  </si>
  <si>
    <t>GEPP pide: Combinar autoabasto (ENEL) con generación solar en sitio</t>
  </si>
  <si>
    <t>(−) Ahorro autoabasto (ENEL)</t>
  </si>
  <si>
    <t>Beneficio ENEL ($1.78/kWh vs CFE; validado por colapso 2026)</t>
  </si>
  <si>
    <t xml:space="preserve">     › ENEL</t>
  </si>
  <si>
    <t xml:space="preserve">     › Mezcla de suministro 2025</t>
  </si>
  <si>
    <t>CFE</t>
  </si>
  <si>
    <t>ENEL (en 2026 ENEL ya colapsó → CFE ~85%)</t>
  </si>
  <si>
    <t>Tarifa Actual (Σ) = recibo a CFE pleno $36,585,609 (dato workbook GEPP, calibrado del motor ×1.000). Ahorro = motor (golden 18/18).</t>
  </si>
  <si>
    <t>RESTRICCIÓN: el techo TOTAL de Proplasa se limita a 3.15 MW (sin espacio). Se reparte proporcional al consumo de cada medidor para autoconsumir el 100% (sin exportar): PR1 = 557 kWp (~18% del consumo Proplasa). El PV/kWp ahorra casi igual en los 3 medidores (misma división), así que el reparto proporcional es ~óptimo en ahorro. Desplaza la energía CFE cara; BESS 360 kW recorta punta. COMPRAR conserva el 100% del ahorro para GEPP.</t>
  </si>
  <si>
    <t>PROPLASA PR2 — Memoria de cálculo trazable y propuesta</t>
  </si>
  <si>
    <t>Medidor 805DYN · GDMTH SIN · Demanda contratada 5,625 kW · AUTOCONSUMO interconectado (&gt;0.7 MW) — permiso SIMPLIFICADO CNE</t>
  </si>
  <si>
    <t>Tarifa Actual (Σ) = recibo a CFE pleno $108,810,403 (dato workbook GEPP, calibrado del motor ×1.000). Ahorro = motor (golden 18/18).</t>
  </si>
  <si>
    <t>Mayor consumidor (45.7 GWh). Bajo el techo total de 3.15 MW recibe la mayor porción: 1,565 kWp (proporcional a su carga). Al reducir el PV el umbral queda más alto y el BESS 1,220 kW/2,440 kWh recorta MÁS demanda → su ahorro BESS sube (~$4.9M). &gt;0.7 MW agregado ⇒ Autoconsumo CNE. COMPRAR = máximo ahorro al cliente (conserva el 100%).</t>
  </si>
  <si>
    <t>PROPLASA TAPAS — Memoria de cálculo trazable y propuesta</t>
  </si>
  <si>
    <t>Medidor 807DYN · GDMTH SIN · Demanda contratada 2,814 kW · AUTOCONSUMO interconectado (&gt;0.7 MW) — permiso SIMPLIFICADO CNE</t>
  </si>
  <si>
    <t>Tarifa Actual (Σ) = recibo a CFE pleno $71,319,345 (dato workbook GEPP, calibrado del motor ×1.000). Ahorro = motor (golden 18/18).</t>
  </si>
  <si>
    <t>Bajo el techo total de 3.15 MW recibe 1,028 kWp (proporcional a su consumo, ~33%). PV 100% autoconsumido desplazando energía CFE; BESS 790 kW recorta punta. La restricción de techo reduce el ahorro PV vs el caso sin límite (~$22M menos en Proplasa), pero el dimensionamiento es el máximo posible y COMPRAR conserva el 100% del ahorro para GEPP.</t>
  </si>
  <si>
    <t>COMPARATIVO COMERCIAL — Comprar vs PPA / Ahorro Compartido (en vivo)</t>
  </si>
  <si>
    <t>⚙ Variables por proyecto (PV/BESS, costo, PPA $/kWh, plazo, comisión) → edítalas en la hoja SUPUESTOS; esta hoja y los flujos de cada sitio se recalculan.</t>
  </si>
  <si>
    <t>VARIABLES POR PROYECTO (desde Supuestos)</t>
  </si>
  <si>
    <t>PPA plazo</t>
  </si>
  <si>
    <t>Comisión %</t>
  </si>
  <si>
    <t>Capacitor $</t>
  </si>
  <si>
    <t>RESULTADO POR PROYECTO (beneficio año 1 · TIR)</t>
  </si>
  <si>
    <t>Compra: benef./año</t>
  </si>
  <si>
    <t>Compra: inversión</t>
  </si>
  <si>
    <t>Compra: TIR</t>
  </si>
  <si>
    <t>PPA: benef. cliente/año</t>
  </si>
  <si>
    <t>PPA: TIR financiador</t>
  </si>
  <si>
    <t>Ahorro bruto/año</t>
  </si>
  <si>
    <t>Ahorro % (proyecto)</t>
  </si>
  <si>
    <t>Comprar maximiza el ahorro de GEPP (TIR de proyecto 28-44% &gt; costo de capital). El PPA/ahorro compartido = cero inversión/riesgo; la TIR del financiador (18% semilla) es negociable a 14% subiendo el beneficio del cliente. Cambia la tarifa PPA o el plazo en Supuestos y observa el efecto.</t>
  </si>
  <si>
    <t>PROYECCIÓN 20 AÑOS — Portafolio GEPP (suma de los 6 medidores, en vivo)</t>
  </si>
  <si>
    <t>Tarifa Actual = lo que pagarían sin proyecto (con autoabasto hasta 2031; escalón a CFE pleno en 2032). Ahorro persiste; el PV se transfiere al cliente al término del PPA.</t>
  </si>
  <si>
    <t>Ahorro total $</t>
  </si>
  <si>
    <t>Acum. Compra $</t>
  </si>
  <si>
    <t>Acum. Cliente PPA $</t>
  </si>
  <si>
    <t>Acum 20a:</t>
  </si>
  <si>
    <t>Acumulado Compra ~ supera el PPA cliente; la diferencia retribuye al financiador el capital aportado. Tras el plazo PPA el PV pasa a GEPP y el ahorro completo queda para el cliente.</t>
  </si>
  <si>
    <t>Ahorro PPA&amp;SAAS anual</t>
  </si>
  <si>
    <t>Ahorro PPA&amp;SAAS 20 años</t>
  </si>
  <si>
    <t>BESS (años)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</si>
</sst>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&quot;($&quot;#,##0\);\-"/>
    <numFmt numFmtId="165" formatCode="0.0%"/>
    <numFmt numFmtId="166" formatCode="#,##0;\(#,##0\);\-"/>
    <numFmt numFmtId="167" formatCode="0.0000"/>
    <numFmt numFmtId="168" formatCode="0.000"/>
  </numFmts>
  <fonts count="31" x14ac:knownFonts="1">
    <font>
      <sz val="11"/>
      <color theme="1"/>
      <name val="Calibri"/>
      <family val="2"/>
      <charset val="1"/>
    </font>
    <font>
      <b/>
      <sz val="15"/>
      <color rgb="FF1F4E5F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sz val="9"/>
      <color rgb="FF595959"/>
      <name val="Arial"/>
      <family val="2"/>
    </font>
    <font>
      <b/>
      <sz val="13"/>
      <color rgb="FF1F4E5F"/>
      <name val="Arial"/>
      <family val="2"/>
    </font>
    <font>
      <b/>
      <sz val="9"/>
      <color rgb="FF1F4E5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FFFFFF"/>
      <name val="Arial"/>
      <family val="2"/>
    </font>
    <font>
      <b/>
      <sz val="10"/>
      <color rgb="FF0000FF"/>
      <name val="Arial"/>
      <family val="2"/>
    </font>
    <font>
      <b/>
      <sz val="10"/>
      <color rgb="FFC0504D"/>
      <name val="Arial"/>
      <family val="2"/>
    </font>
    <font>
      <b/>
      <sz val="10"/>
      <color rgb="FF008000"/>
      <name val="Arial"/>
      <family val="2"/>
    </font>
    <font>
      <b/>
      <sz val="10"/>
      <color rgb="FF1F4E5F"/>
      <name val="Arial"/>
      <family val="2"/>
    </font>
    <font>
      <b/>
      <sz val="10"/>
      <color rgb="FF375623"/>
      <name val="Arial"/>
      <family val="2"/>
    </font>
    <font>
      <b/>
      <sz val="8"/>
      <color rgb="FF1F4E5F"/>
      <name val="Arial"/>
      <family val="2"/>
    </font>
    <font>
      <sz val="8"/>
      <color rgb="FF0000FF"/>
      <name val="Arial"/>
      <family val="2"/>
    </font>
    <font>
      <sz val="8"/>
      <color rgb="FF000000"/>
      <name val="Arial"/>
      <family val="2"/>
    </font>
    <font>
      <i/>
      <sz val="8"/>
      <color rgb="FF595959"/>
      <name val="Arial"/>
      <family val="2"/>
    </font>
    <font>
      <b/>
      <sz val="9"/>
      <color rgb="FF000000"/>
      <name val="Arial"/>
      <family val="2"/>
    </font>
    <font>
      <sz val="8"/>
      <color rgb="FF595959"/>
      <name val="Arial"/>
      <family val="2"/>
    </font>
    <font>
      <b/>
      <sz val="9"/>
      <color rgb="FF008000"/>
      <name val="Arial"/>
      <family val="2"/>
    </font>
    <font>
      <i/>
      <sz val="9"/>
      <color rgb="FF008000"/>
      <name val="Arial"/>
      <family val="2"/>
    </font>
    <font>
      <i/>
      <sz val="9"/>
      <color rgb="FFC0504D"/>
      <name val="Arial"/>
      <family val="2"/>
    </font>
    <font>
      <b/>
      <sz val="10"/>
      <color rgb="FFFFFFFF"/>
      <name val="Aptos Narrow"/>
      <family val="2"/>
    </font>
    <font>
      <sz val="10"/>
      <color rgb="FF008000"/>
      <name val="Aptos Narrow"/>
      <family val="2"/>
    </font>
    <font>
      <b/>
      <sz val="10"/>
      <color rgb="FF000000"/>
      <name val="Aptos Narrow"/>
      <family val="2"/>
    </font>
    <font>
      <b/>
      <sz val="10"/>
      <color rgb="FF0000FF"/>
      <name val="Aptos Narrow"/>
      <family val="2"/>
    </font>
    <font>
      <sz val="10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1F4E5F"/>
        <bgColor rgb="FF375623"/>
      </patternFill>
    </fill>
    <fill>
      <patternFill patternType="solid">
        <fgColor rgb="FFE2EFDA"/>
        <bgColor rgb="FFDCE6F1"/>
      </patternFill>
    </fill>
    <fill>
      <patternFill patternType="solid">
        <fgColor rgb="FFDCE6F1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2" borderId="0" xfId="0" applyFill="1"/>
    <xf numFmtId="0" fontId="4" fillId="0" borderId="0" xfId="0" applyFont="1"/>
    <xf numFmtId="164" fontId="5" fillId="3" borderId="0" xfId="0" applyNumberFormat="1" applyFont="1" applyFill="1"/>
    <xf numFmtId="3" fontId="5" fillId="3" borderId="0" xfId="0" applyNumberFormat="1" applyFont="1" applyFill="1"/>
    <xf numFmtId="165" fontId="5" fillId="3" borderId="0" xfId="0" applyNumberFormat="1" applyFont="1" applyFill="1"/>
    <xf numFmtId="0" fontId="6" fillId="4" borderId="0" xfId="0" applyFont="1" applyFill="1" applyAlignment="1">
      <alignment horizontal="center" wrapText="1"/>
    </xf>
    <xf numFmtId="0" fontId="7" fillId="0" borderId="0" xfId="0" applyFont="1"/>
    <xf numFmtId="2" fontId="8" fillId="0" borderId="0" xfId="0" applyNumberFormat="1" applyFont="1"/>
    <xf numFmtId="0" fontId="9" fillId="0" borderId="0" xfId="0" applyFont="1"/>
    <xf numFmtId="166" fontId="10" fillId="0" borderId="0" xfId="0" applyNumberFormat="1" applyFont="1"/>
    <xf numFmtId="165" fontId="10" fillId="0" borderId="0" xfId="0" applyNumberFormat="1" applyFont="1"/>
    <xf numFmtId="167" fontId="10" fillId="0" borderId="0" xfId="0" applyNumberFormat="1" applyFont="1"/>
    <xf numFmtId="0" fontId="7" fillId="5" borderId="0" xfId="0" applyFont="1" applyFill="1"/>
    <xf numFmtId="2" fontId="7" fillId="5" borderId="0" xfId="0" applyNumberFormat="1" applyFont="1" applyFill="1"/>
    <xf numFmtId="0" fontId="0" fillId="5" borderId="0" xfId="0" applyFill="1"/>
    <xf numFmtId="166" fontId="7" fillId="5" borderId="0" xfId="0" applyNumberFormat="1" applyFont="1" applyFill="1"/>
    <xf numFmtId="0" fontId="5" fillId="0" borderId="0" xfId="0" applyFont="1"/>
    <xf numFmtId="0" fontId="11" fillId="2" borderId="0" xfId="0" applyFont="1" applyFill="1" applyAlignment="1">
      <alignment vertical="center"/>
    </xf>
    <xf numFmtId="0" fontId="11" fillId="2" borderId="0" xfId="0" applyFont="1" applyFill="1"/>
    <xf numFmtId="0" fontId="8" fillId="0" borderId="0" xfId="0" applyFont="1"/>
    <xf numFmtId="167" fontId="12" fillId="6" borderId="0" xfId="0" applyNumberFormat="1" applyFont="1" applyFill="1"/>
    <xf numFmtId="3" fontId="12" fillId="6" borderId="0" xfId="0" applyNumberFormat="1" applyFont="1" applyFill="1"/>
    <xf numFmtId="165" fontId="12" fillId="6" borderId="0" xfId="0" applyNumberFormat="1" applyFont="1" applyFill="1"/>
    <xf numFmtId="165" fontId="10" fillId="3" borderId="0" xfId="0" applyNumberFormat="1" applyFont="1" applyFill="1"/>
    <xf numFmtId="3" fontId="7" fillId="5" borderId="0" xfId="0" applyNumberFormat="1" applyFont="1" applyFill="1"/>
    <xf numFmtId="0" fontId="13" fillId="0" borderId="0" xfId="0" applyFont="1"/>
    <xf numFmtId="3" fontId="14" fillId="0" borderId="0" xfId="0" applyNumberFormat="1" applyFont="1"/>
    <xf numFmtId="3" fontId="8" fillId="0" borderId="0" xfId="0" applyNumberFormat="1" applyFont="1"/>
    <xf numFmtId="0" fontId="14" fillId="0" borderId="0" xfId="0" applyFont="1" applyAlignment="1">
      <alignment horizontal="center" vertical="top"/>
    </xf>
    <xf numFmtId="167" fontId="4" fillId="0" borderId="0" xfId="0" applyNumberFormat="1" applyFont="1"/>
    <xf numFmtId="0" fontId="15" fillId="4" borderId="0" xfId="0" applyFont="1" applyFill="1"/>
    <xf numFmtId="164" fontId="7" fillId="3" borderId="0" xfId="0" applyNumberFormat="1" applyFont="1" applyFill="1"/>
    <xf numFmtId="167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7" fillId="4" borderId="0" xfId="0" applyNumberFormat="1" applyFont="1" applyFill="1"/>
    <xf numFmtId="167" fontId="8" fillId="4" borderId="0" xfId="0" applyNumberFormat="1" applyFont="1" applyFill="1"/>
    <xf numFmtId="3" fontId="8" fillId="4" borderId="0" xfId="0" applyNumberFormat="1" applyFont="1" applyFill="1"/>
    <xf numFmtId="0" fontId="0" fillId="4" borderId="0" xfId="0" applyFill="1"/>
    <xf numFmtId="166" fontId="4" fillId="0" borderId="0" xfId="0" applyNumberFormat="1" applyFont="1"/>
    <xf numFmtId="3" fontId="4" fillId="0" borderId="0" xfId="0" applyNumberFormat="1" applyFont="1"/>
    <xf numFmtId="0" fontId="15" fillId="0" borderId="0" xfId="0" applyFont="1"/>
    <xf numFmtId="0" fontId="7" fillId="3" borderId="0" xfId="0" applyFont="1" applyFill="1"/>
    <xf numFmtId="0" fontId="0" fillId="3" borderId="0" xfId="0" applyFill="1"/>
    <xf numFmtId="0" fontId="16" fillId="0" borderId="0" xfId="0" applyFont="1"/>
    <xf numFmtId="164" fontId="16" fillId="0" borderId="0" xfId="0" applyNumberFormat="1" applyFont="1"/>
    <xf numFmtId="165" fontId="16" fillId="0" borderId="0" xfId="0" applyNumberFormat="1" applyFont="1"/>
    <xf numFmtId="164" fontId="8" fillId="6" borderId="0" xfId="0" applyNumberFormat="1" applyFont="1" applyFill="1"/>
    <xf numFmtId="0" fontId="17" fillId="4" borderId="0" xfId="0" applyFont="1" applyFill="1" applyAlignment="1">
      <alignment horizontal="center" vertical="center" wrapText="1"/>
    </xf>
    <xf numFmtId="0" fontId="18" fillId="0" borderId="0" xfId="0" applyFont="1"/>
    <xf numFmtId="3" fontId="18" fillId="0" borderId="0" xfId="0" applyNumberFormat="1" applyFont="1"/>
    <xf numFmtId="168" fontId="18" fillId="0" borderId="0" xfId="0" applyNumberFormat="1" applyFont="1"/>
    <xf numFmtId="2" fontId="18" fillId="0" borderId="0" xfId="0" applyNumberFormat="1" applyFont="1"/>
    <xf numFmtId="1" fontId="18" fillId="0" borderId="0" xfId="0" applyNumberFormat="1" applyFont="1"/>
    <xf numFmtId="166" fontId="18" fillId="0" borderId="0" xfId="0" applyNumberFormat="1" applyFont="1"/>
    <xf numFmtId="0" fontId="19" fillId="0" borderId="0" xfId="0" applyFont="1"/>
    <xf numFmtId="3" fontId="19" fillId="0" borderId="0" xfId="0" applyNumberFormat="1" applyFont="1"/>
    <xf numFmtId="166" fontId="19" fillId="0" borderId="0" xfId="0" applyNumberFormat="1" applyFont="1"/>
    <xf numFmtId="167" fontId="18" fillId="0" borderId="0" xfId="0" applyNumberFormat="1" applyFont="1"/>
    <xf numFmtId="0" fontId="20" fillId="0" borderId="0" xfId="0" applyFont="1"/>
    <xf numFmtId="0" fontId="6" fillId="4" borderId="0" xfId="0" applyFont="1" applyFill="1" applyAlignment="1">
      <alignment horizontal="center" vertical="center" wrapText="1"/>
    </xf>
    <xf numFmtId="3" fontId="9" fillId="0" borderId="0" xfId="0" applyNumberFormat="1" applyFont="1"/>
    <xf numFmtId="166" fontId="9" fillId="0" borderId="0" xfId="0" applyNumberFormat="1" applyFont="1"/>
    <xf numFmtId="165" fontId="9" fillId="0" borderId="0" xfId="0" applyNumberFormat="1" applyFont="1"/>
    <xf numFmtId="165" fontId="7" fillId="5" borderId="0" xfId="0" applyNumberFormat="1" applyFont="1" applyFill="1"/>
    <xf numFmtId="0" fontId="21" fillId="0" borderId="0" xfId="0" applyFont="1"/>
    <xf numFmtId="0" fontId="22" fillId="0" borderId="0" xfId="0" applyFont="1"/>
    <xf numFmtId="166" fontId="23" fillId="3" borderId="0" xfId="0" applyNumberFormat="1" applyFont="1" applyFill="1"/>
    <xf numFmtId="3" fontId="23" fillId="3" borderId="0" xfId="0" applyNumberFormat="1" applyFont="1" applyFill="1"/>
    <xf numFmtId="166" fontId="21" fillId="5" borderId="0" xfId="0" applyNumberFormat="1" applyFont="1" applyFill="1"/>
    <xf numFmtId="165" fontId="21" fillId="3" borderId="0" xfId="0" applyNumberFormat="1" applyFont="1" applyFill="1"/>
    <xf numFmtId="166" fontId="21" fillId="3" borderId="0" xfId="0" applyNumberFormat="1" applyFont="1" applyFill="1"/>
    <xf numFmtId="166" fontId="8" fillId="0" borderId="0" xfId="0" applyNumberFormat="1" applyFont="1"/>
    <xf numFmtId="165" fontId="8" fillId="0" borderId="0" xfId="0" applyNumberFormat="1" applyFont="1"/>
    <xf numFmtId="0" fontId="8" fillId="0" borderId="0" xfId="0" applyFont="1" applyAlignment="1">
      <alignment horizontal="center" vertical="top"/>
    </xf>
    <xf numFmtId="3" fontId="10" fillId="0" borderId="0" xfId="0" applyNumberFormat="1" applyFont="1"/>
    <xf numFmtId="165" fontId="24" fillId="0" borderId="0" xfId="0" applyNumberFormat="1" applyFont="1"/>
    <xf numFmtId="0" fontId="25" fillId="0" borderId="0" xfId="0" applyFont="1"/>
    <xf numFmtId="0" fontId="26" fillId="2" borderId="0" xfId="0" applyFont="1" applyFill="1" applyAlignment="1">
      <alignment horizontal="center" vertical="center" wrapText="1"/>
    </xf>
    <xf numFmtId="166" fontId="27" fillId="3" borderId="0" xfId="0" applyNumberFormat="1" applyFont="1" applyFill="1"/>
    <xf numFmtId="166" fontId="28" fillId="5" borderId="0" xfId="0" applyNumberFormat="1" applyFont="1" applyFill="1"/>
    <xf numFmtId="0" fontId="28" fillId="0" borderId="0" xfId="0" applyFont="1"/>
    <xf numFmtId="3" fontId="29" fillId="6" borderId="0" xfId="0" applyNumberFormat="1" applyFont="1" applyFill="1"/>
    <xf numFmtId="0" fontId="29" fillId="6" borderId="0" xfId="0" applyFont="1" applyFill="1" applyAlignment="1">
      <alignment horizontal="center" vertical="top"/>
    </xf>
    <xf numFmtId="167" fontId="29" fillId="6" borderId="0" xfId="0" applyNumberFormat="1" applyFont="1" applyFill="1"/>
    <xf numFmtId="166" fontId="29" fillId="6" borderId="0" xfId="0" applyNumberFormat="1" applyFont="1" applyFill="1"/>
    <xf numFmtId="165" fontId="29" fillId="6" borderId="0" xfId="0" applyNumberFormat="1" applyFont="1" applyFill="1"/>
    <xf numFmtId="165" fontId="27" fillId="3" borderId="0" xfId="0" applyNumberFormat="1" applyFont="1" applyFill="1"/>
    <xf numFmtId="0" fontId="28" fillId="5" borderId="0" xfId="0" applyFont="1" applyFill="1"/>
    <xf numFmtId="3" fontId="28" fillId="5" borderId="0" xfId="0" applyNumberFormat="1" applyFont="1" applyFill="1"/>
    <xf numFmtId="0" fontId="26" fillId="2" borderId="0" xfId="0" applyFont="1" applyFill="1" applyAlignment="1">
      <alignment vertical="center"/>
    </xf>
    <xf numFmtId="0" fontId="30" fillId="2" borderId="0" xfId="0" applyFont="1" applyFill="1"/>
    <xf numFmtId="0" fontId="30" fillId="0" borderId="0" xfId="0" applyFont="1"/>
    <xf numFmtId="0" fontId="30" fillId="5" borderId="0" xfId="0" applyFont="1" applyFill="1"/>
    <xf numFmtId="0" fontId="2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6"/>
  <sheetViews>
    <sheetView showGridLines="0" tabSelected="1" topLeftCell="A16" zoomScaleNormal="100" workbookViewId="0">
      <selection activeCell="C37" sqref="C37"/>
    </sheetView>
  </sheetViews>
  <sheetFormatPr defaultColWidth="8.6640625" defaultRowHeight="14.4" x14ac:dyDescent="0.3"/>
  <cols>
    <col min="1" max="1" width="26" customWidth="1"/>
    <col min="2" max="2" width="12" customWidth="1"/>
    <col min="3" max="3" width="10" customWidth="1"/>
    <col min="4" max="4" width="11" customWidth="1"/>
    <col min="5" max="5" width="9" hidden="1" customWidth="1"/>
    <col min="6" max="6" width="11" hidden="1" customWidth="1"/>
    <col min="7" max="7" width="12" hidden="1" customWidth="1"/>
    <col min="8" max="8" width="15" hidden="1" customWidth="1"/>
    <col min="9" max="9" width="11" customWidth="1"/>
    <col min="10" max="13" width="13" customWidth="1"/>
    <col min="14" max="14" width="12" customWidth="1"/>
    <col min="15" max="15" width="16" customWidth="1"/>
    <col min="16" max="16" width="13.88671875" bestFit="1" customWidth="1"/>
    <col min="17" max="17" width="14.88671875" bestFit="1" customWidth="1"/>
  </cols>
  <sheetData>
    <row r="1" spans="1:3" ht="16.8" x14ac:dyDescent="0.3">
      <c r="A1" s="20" t="s">
        <v>40</v>
      </c>
    </row>
    <row r="2" spans="1:3" x14ac:dyDescent="0.3">
      <c r="A2" s="2" t="s">
        <v>41</v>
      </c>
    </row>
    <row r="3" spans="1:3" ht="18" customHeight="1" x14ac:dyDescent="0.3">
      <c r="A3" s="21" t="s">
        <v>42</v>
      </c>
      <c r="B3" s="22" t="s">
        <v>43</v>
      </c>
      <c r="C3" s="22" t="s">
        <v>44</v>
      </c>
    </row>
    <row r="4" spans="1:3" x14ac:dyDescent="0.3">
      <c r="A4" s="23" t="s">
        <v>45</v>
      </c>
      <c r="B4" s="24">
        <v>0.75</v>
      </c>
      <c r="C4" s="5" t="s">
        <v>46</v>
      </c>
    </row>
    <row r="5" spans="1:3" x14ac:dyDescent="0.3">
      <c r="A5" s="23" t="s">
        <v>47</v>
      </c>
      <c r="B5" s="25">
        <v>17.55</v>
      </c>
      <c r="C5" s="5" t="s">
        <v>48</v>
      </c>
    </row>
    <row r="6" spans="1:3" x14ac:dyDescent="0.3">
      <c r="A6" s="23" t="s">
        <v>49</v>
      </c>
      <c r="B6" s="25">
        <v>280</v>
      </c>
      <c r="C6" s="5" t="s">
        <v>50</v>
      </c>
    </row>
    <row r="7" spans="1:3" x14ac:dyDescent="0.3">
      <c r="A7" s="23" t="s">
        <v>51</v>
      </c>
      <c r="B7" s="26">
        <v>0.12</v>
      </c>
      <c r="C7" s="5" t="s">
        <v>52</v>
      </c>
    </row>
    <row r="8" spans="1:3" x14ac:dyDescent="0.3">
      <c r="A8" s="23" t="s">
        <v>53</v>
      </c>
      <c r="B8" s="26">
        <v>0.06</v>
      </c>
      <c r="C8" s="5" t="s">
        <v>54</v>
      </c>
    </row>
    <row r="9" spans="1:3" x14ac:dyDescent="0.3">
      <c r="A9" s="23" t="s">
        <v>55</v>
      </c>
      <c r="B9" s="26">
        <v>0.05</v>
      </c>
      <c r="C9" s="5" t="s">
        <v>56</v>
      </c>
    </row>
    <row r="10" spans="1:3" x14ac:dyDescent="0.3">
      <c r="A10" s="23" t="s">
        <v>57</v>
      </c>
      <c r="B10" s="26">
        <v>0.75</v>
      </c>
      <c r="C10" s="5" t="s">
        <v>58</v>
      </c>
    </row>
    <row r="11" spans="1:3" x14ac:dyDescent="0.3">
      <c r="A11" s="23" t="s">
        <v>59</v>
      </c>
      <c r="B11" s="24">
        <v>5.0000000000000001E-3</v>
      </c>
      <c r="C11" s="5" t="s">
        <v>60</v>
      </c>
    </row>
    <row r="12" spans="1:3" x14ac:dyDescent="0.3">
      <c r="A12" s="23" t="s">
        <v>61</v>
      </c>
      <c r="B12" s="24">
        <v>1.2500000000000001E-2</v>
      </c>
      <c r="C12" s="5" t="s">
        <v>62</v>
      </c>
    </row>
    <row r="13" spans="1:3" x14ac:dyDescent="0.3">
      <c r="A13" s="23" t="s">
        <v>63</v>
      </c>
      <c r="B13" s="26">
        <v>0.18</v>
      </c>
      <c r="C13" s="5" t="s">
        <v>64</v>
      </c>
    </row>
    <row r="14" spans="1:3" x14ac:dyDescent="0.3">
      <c r="A14" s="23" t="s">
        <v>65</v>
      </c>
      <c r="B14" s="26">
        <v>0.5</v>
      </c>
      <c r="C14" s="5" t="s">
        <v>66</v>
      </c>
    </row>
    <row r="15" spans="1:3" x14ac:dyDescent="0.3">
      <c r="A15" s="23" t="s">
        <v>67</v>
      </c>
      <c r="B15" s="25">
        <v>20</v>
      </c>
      <c r="C15" s="5" t="s">
        <v>68</v>
      </c>
    </row>
    <row r="16" spans="1:3" x14ac:dyDescent="0.3">
      <c r="A16" s="23" t="s">
        <v>69</v>
      </c>
      <c r="B16" s="24">
        <v>0.56999999999999995</v>
      </c>
      <c r="C16" s="5" t="s">
        <v>70</v>
      </c>
    </row>
    <row r="17" spans="1:17" x14ac:dyDescent="0.3">
      <c r="A17" s="23" t="s">
        <v>71</v>
      </c>
      <c r="B17" s="24">
        <v>0.96</v>
      </c>
      <c r="C17" s="5" t="s">
        <v>72</v>
      </c>
    </row>
    <row r="18" spans="1:17" x14ac:dyDescent="0.3">
      <c r="A18" s="23" t="s">
        <v>73</v>
      </c>
      <c r="B18" s="24">
        <v>0.96</v>
      </c>
      <c r="C18" s="5" t="s">
        <v>74</v>
      </c>
    </row>
    <row r="19" spans="1:17" x14ac:dyDescent="0.3">
      <c r="A19" s="23" t="s">
        <v>75</v>
      </c>
      <c r="B19" s="25">
        <v>310</v>
      </c>
      <c r="C19" s="5" t="s">
        <v>48</v>
      </c>
    </row>
    <row r="20" spans="1:17" x14ac:dyDescent="0.3">
      <c r="A20" s="23" t="s">
        <v>76</v>
      </c>
      <c r="B20" s="25">
        <v>180</v>
      </c>
      <c r="C20" s="5" t="s">
        <v>48</v>
      </c>
    </row>
    <row r="21" spans="1:17" x14ac:dyDescent="0.3">
      <c r="A21" s="23"/>
      <c r="B21" s="26"/>
      <c r="C21" s="5"/>
    </row>
    <row r="22" spans="1:17" x14ac:dyDescent="0.3">
      <c r="A22" s="23" t="s">
        <v>77</v>
      </c>
      <c r="B22" s="25">
        <v>2032</v>
      </c>
      <c r="C22" s="5" t="s">
        <v>78</v>
      </c>
    </row>
    <row r="23" spans="1:17" x14ac:dyDescent="0.3">
      <c r="A23" s="23" t="s">
        <v>79</v>
      </c>
      <c r="B23" s="25">
        <v>15</v>
      </c>
      <c r="C23" s="5" t="s">
        <v>80</v>
      </c>
    </row>
    <row r="24" spans="1:17" x14ac:dyDescent="0.3">
      <c r="A24" s="23" t="s">
        <v>81</v>
      </c>
      <c r="B24" s="25">
        <v>2026</v>
      </c>
      <c r="C24" s="5" t="s">
        <v>82</v>
      </c>
    </row>
    <row r="26" spans="1:17" ht="18" customHeight="1" x14ac:dyDescent="0.3">
      <c r="A26" s="94" t="s">
        <v>83</v>
      </c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6"/>
      <c r="Q26" s="96"/>
    </row>
    <row r="27" spans="1:17" ht="30" customHeight="1" x14ac:dyDescent="0.3">
      <c r="A27" s="82" t="s">
        <v>84</v>
      </c>
      <c r="B27" s="82" t="s">
        <v>85</v>
      </c>
      <c r="C27" s="82" t="s">
        <v>86</v>
      </c>
      <c r="D27" s="82" t="s">
        <v>87</v>
      </c>
      <c r="E27" s="82" t="s">
        <v>88</v>
      </c>
      <c r="F27" s="82" t="s">
        <v>89</v>
      </c>
      <c r="G27" s="82" t="s">
        <v>90</v>
      </c>
      <c r="H27" s="82" t="s">
        <v>91</v>
      </c>
      <c r="I27" s="82" t="s">
        <v>20</v>
      </c>
      <c r="J27" s="82" t="s">
        <v>92</v>
      </c>
      <c r="K27" s="82" t="s">
        <v>93</v>
      </c>
      <c r="L27" s="82" t="s">
        <v>288</v>
      </c>
      <c r="M27" s="82" t="s">
        <v>94</v>
      </c>
      <c r="N27" s="82" t="s">
        <v>19</v>
      </c>
      <c r="O27" s="82" t="s">
        <v>95</v>
      </c>
      <c r="P27" s="82" t="s">
        <v>286</v>
      </c>
      <c r="Q27" s="82" t="s">
        <v>287</v>
      </c>
    </row>
    <row r="28" spans="1:17" x14ac:dyDescent="0.3">
      <c r="A28" s="85" t="s">
        <v>22</v>
      </c>
      <c r="B28" s="86">
        <v>2529.67</v>
      </c>
      <c r="C28" s="86">
        <v>751.5</v>
      </c>
      <c r="D28" s="86">
        <v>1470</v>
      </c>
      <c r="E28" s="87" t="s">
        <v>96</v>
      </c>
      <c r="F28" s="88">
        <v>0.75</v>
      </c>
      <c r="G28" s="86">
        <v>280</v>
      </c>
      <c r="H28" s="89">
        <v>0</v>
      </c>
      <c r="I28" s="88">
        <v>1.5573999999999999</v>
      </c>
      <c r="J28" s="86">
        <v>15</v>
      </c>
      <c r="K28" s="90">
        <v>0.5</v>
      </c>
      <c r="L28" s="86">
        <v>20</v>
      </c>
      <c r="M28" s="91">
        <f>Ixtlahuacán!$G$101</f>
        <v>0.18294207038367039</v>
      </c>
      <c r="N28" s="91">
        <f>Ixtlahuacán!$G$100</f>
        <v>0.30515621116007785</v>
      </c>
      <c r="O28" s="83">
        <f>Ixtlahuacán!$J$72</f>
        <v>11170648.508450959</v>
      </c>
      <c r="P28" s="83">
        <f>+Ixtlahuacán!K79</f>
        <v>3573170.277914498</v>
      </c>
      <c r="Q28" s="83">
        <f>+Ixtlahuacán!K99</f>
        <v>221921451.82530957</v>
      </c>
    </row>
    <row r="29" spans="1:17" x14ac:dyDescent="0.3">
      <c r="A29" s="85" t="s">
        <v>25</v>
      </c>
      <c r="B29" s="86">
        <v>1020.3049999999999</v>
      </c>
      <c r="C29" s="86">
        <v>250.5</v>
      </c>
      <c r="D29" s="86">
        <v>490</v>
      </c>
      <c r="E29" s="87" t="s">
        <v>97</v>
      </c>
      <c r="F29" s="88">
        <v>0.75</v>
      </c>
      <c r="G29" s="86">
        <v>280</v>
      </c>
      <c r="H29" s="89">
        <v>300000</v>
      </c>
      <c r="I29" s="88">
        <v>1.5781000000000001</v>
      </c>
      <c r="J29" s="86">
        <v>15</v>
      </c>
      <c r="K29" s="90">
        <v>0.5</v>
      </c>
      <c r="L29" s="86">
        <v>20</v>
      </c>
      <c r="M29" s="91">
        <f>Acapulco!$G$101</f>
        <v>0.18679136760305681</v>
      </c>
      <c r="N29" s="91">
        <f>Acapulco!$G$100</f>
        <v>0.43092558578671358</v>
      </c>
      <c r="O29" s="83">
        <f>Acapulco!$J$72</f>
        <v>6212518.2804859504</v>
      </c>
      <c r="P29" s="83">
        <f>+Acapulco!K79</f>
        <v>3353681.2868334334</v>
      </c>
      <c r="Q29" s="83">
        <f>+Acapulco!K99</f>
        <v>157591753.10498247</v>
      </c>
    </row>
    <row r="30" spans="1:17" x14ac:dyDescent="0.3">
      <c r="A30" s="85" t="s">
        <v>27</v>
      </c>
      <c r="B30" s="86">
        <v>839.41</v>
      </c>
      <c r="C30" s="86">
        <v>0</v>
      </c>
      <c r="D30" s="86">
        <v>0</v>
      </c>
      <c r="E30" s="87" t="s">
        <v>97</v>
      </c>
      <c r="F30" s="88">
        <v>0.75</v>
      </c>
      <c r="G30" s="86">
        <v>280</v>
      </c>
      <c r="H30" s="89">
        <v>250000</v>
      </c>
      <c r="I30" s="88">
        <v>1.6838</v>
      </c>
      <c r="J30" s="86">
        <v>15</v>
      </c>
      <c r="K30" s="90">
        <v>0.5</v>
      </c>
      <c r="L30" s="86">
        <v>20</v>
      </c>
      <c r="M30" s="91">
        <f>Cancún!$G$101</f>
        <v>0.18090211762494435</v>
      </c>
      <c r="N30" s="91">
        <f>Cancún!$G$100</f>
        <v>0.4359692322611084</v>
      </c>
      <c r="O30" s="83">
        <f>Cancún!$J$72</f>
        <v>4331791.8628673675</v>
      </c>
      <c r="P30" s="83">
        <f>+Cancún!K79</f>
        <v>2462692.9029052546</v>
      </c>
      <c r="Q30" s="83">
        <f>+Cancún!K99</f>
        <v>112919614.50729914</v>
      </c>
    </row>
    <row r="31" spans="1:17" x14ac:dyDescent="0.3">
      <c r="A31" s="85" t="s">
        <v>30</v>
      </c>
      <c r="B31" s="86">
        <v>839.41</v>
      </c>
      <c r="C31" s="86">
        <v>501</v>
      </c>
      <c r="D31" s="86">
        <v>980</v>
      </c>
      <c r="E31" s="87" t="s">
        <v>96</v>
      </c>
      <c r="F31" s="88">
        <v>0.75</v>
      </c>
      <c r="G31" s="86">
        <v>280</v>
      </c>
      <c r="H31" s="89">
        <v>0</v>
      </c>
      <c r="I31" s="88">
        <v>1.5891</v>
      </c>
      <c r="J31" s="86">
        <v>15</v>
      </c>
      <c r="K31" s="90">
        <v>0.5</v>
      </c>
      <c r="L31" s="86">
        <v>20</v>
      </c>
      <c r="M31" s="91">
        <f>'Proplasa PR1'!$G$101</f>
        <v>0.18105675146257494</v>
      </c>
      <c r="N31" s="91">
        <f>'Proplasa PR1'!$G$100</f>
        <v>0.28566511637404579</v>
      </c>
      <c r="O31" s="83">
        <f>'Proplasa PR1'!$J$72</f>
        <v>4517195.2699725116</v>
      </c>
      <c r="P31" s="83">
        <f>+'Proplasa PR1'!K79</f>
        <v>1246444.2003433425</v>
      </c>
      <c r="Q31" s="83">
        <f>+'Proplasa PR1'!K99</f>
        <v>68494799.632186875</v>
      </c>
    </row>
    <row r="32" spans="1:17" x14ac:dyDescent="0.3">
      <c r="A32" s="85" t="s">
        <v>32</v>
      </c>
      <c r="B32" s="86">
        <v>1565.135</v>
      </c>
      <c r="C32" s="86">
        <v>1252.5</v>
      </c>
      <c r="D32" s="86">
        <v>2450</v>
      </c>
      <c r="E32" s="87" t="s">
        <v>96</v>
      </c>
      <c r="F32" s="88">
        <v>0.75</v>
      </c>
      <c r="G32" s="86">
        <v>280</v>
      </c>
      <c r="H32" s="89">
        <v>0</v>
      </c>
      <c r="I32" s="88">
        <v>1.6116999999999999</v>
      </c>
      <c r="J32" s="86">
        <v>15</v>
      </c>
      <c r="K32" s="90">
        <v>0.5</v>
      </c>
      <c r="L32" s="86">
        <v>20</v>
      </c>
      <c r="M32" s="91">
        <f>'Proplasa PR2'!$G$101</f>
        <v>0.17995412008062694</v>
      </c>
      <c r="N32" s="91">
        <f>'Proplasa PR2'!$G$100</f>
        <v>0.28926483285891824</v>
      </c>
      <c r="O32" s="83">
        <f>'Proplasa PR2'!$J$72</f>
        <v>9667366.0786651224</v>
      </c>
      <c r="P32" s="83">
        <f>+'Proplasa PR2'!K79</f>
        <v>2748991.2241701353</v>
      </c>
      <c r="Q32" s="83">
        <f>+'Proplasa PR2'!K99</f>
        <v>141921495.18784413</v>
      </c>
    </row>
    <row r="33" spans="1:17" x14ac:dyDescent="0.3">
      <c r="A33" s="85" t="s">
        <v>34</v>
      </c>
      <c r="B33" s="86">
        <v>839.41</v>
      </c>
      <c r="C33" s="86">
        <v>751.5</v>
      </c>
      <c r="D33" s="86">
        <v>1470</v>
      </c>
      <c r="E33" s="87" t="s">
        <v>96</v>
      </c>
      <c r="F33" s="88">
        <v>0.75</v>
      </c>
      <c r="G33" s="86">
        <v>280</v>
      </c>
      <c r="H33" s="89">
        <v>0</v>
      </c>
      <c r="I33" s="88">
        <v>1.6088</v>
      </c>
      <c r="J33" s="86">
        <v>15</v>
      </c>
      <c r="K33" s="90">
        <v>0.5</v>
      </c>
      <c r="L33" s="86">
        <v>20</v>
      </c>
      <c r="M33" s="91">
        <f>'Proplasa Tapas'!$G$101</f>
        <v>0.17844880455008316</v>
      </c>
      <c r="N33" s="91">
        <f>'Proplasa Tapas'!$G$100</f>
        <v>0.29125500722891995</v>
      </c>
      <c r="O33" s="83">
        <f>'Proplasa Tapas'!$J$72</f>
        <v>5506797.3403233904</v>
      </c>
      <c r="P33" s="83">
        <f>+'Proplasa Tapas'!K79</f>
        <v>1606410.1263614444</v>
      </c>
      <c r="Q33" s="83">
        <f>+'Proplasa Tapas'!K99</f>
        <v>80297577.89587152</v>
      </c>
    </row>
    <row r="34" spans="1:17" x14ac:dyDescent="0.3">
      <c r="A34" s="92" t="s">
        <v>36</v>
      </c>
      <c r="B34" s="93">
        <f>SUM(B28:B33)</f>
        <v>7633.34</v>
      </c>
      <c r="C34" s="97"/>
      <c r="D34" s="93">
        <f>SUM(D28:D33)</f>
        <v>6860</v>
      </c>
      <c r="E34" s="97"/>
      <c r="F34" s="97"/>
      <c r="G34" s="97"/>
      <c r="H34" s="84">
        <f>SUM(H28:H33)</f>
        <v>550000</v>
      </c>
      <c r="I34" s="97"/>
      <c r="J34" s="97"/>
      <c r="K34" s="97"/>
      <c r="L34" s="97"/>
      <c r="M34" s="97"/>
      <c r="N34" s="97"/>
      <c r="O34" s="84">
        <f>SUM(O28:O33)</f>
        <v>41406317.340765297</v>
      </c>
      <c r="P34" s="96"/>
      <c r="Q34" s="96"/>
    </row>
    <row r="36" spans="1:17" x14ac:dyDescent="0.3">
      <c r="A36" s="2" t="s">
        <v>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showGridLines="0" topLeftCell="A11" zoomScaleNormal="100" workbookViewId="0">
      <selection activeCell="F34" sqref="E34:F34"/>
    </sheetView>
  </sheetViews>
  <sheetFormatPr defaultColWidth="8.6640625" defaultRowHeight="14.4" x14ac:dyDescent="0.3"/>
  <cols>
    <col min="1" max="1" width="20" customWidth="1"/>
    <col min="2" max="2" width="13" customWidth="1"/>
    <col min="3" max="3" width="26" customWidth="1"/>
    <col min="4" max="4" width="16" customWidth="1"/>
    <col min="5" max="5" width="15" customWidth="1"/>
    <col min="6" max="6" width="9" customWidth="1"/>
    <col min="7" max="7" width="14" customWidth="1"/>
    <col min="8" max="9" width="11" customWidth="1"/>
    <col min="10" max="10" width="14" customWidth="1"/>
    <col min="11" max="11" width="10" customWidth="1"/>
  </cols>
  <sheetData>
    <row r="1" spans="1:11" ht="19.2" x14ac:dyDescent="0.35">
      <c r="A1" s="1" t="s">
        <v>0</v>
      </c>
    </row>
    <row r="2" spans="1:11" x14ac:dyDescent="0.3">
      <c r="A2" s="2" t="s">
        <v>1</v>
      </c>
    </row>
    <row r="4" spans="1:11" ht="18" customHeight="1" x14ac:dyDescent="0.3">
      <c r="A4" s="3" t="s">
        <v>2</v>
      </c>
      <c r="B4" s="4"/>
      <c r="C4" s="4"/>
      <c r="D4" s="4"/>
      <c r="E4" s="4"/>
      <c r="F4" s="4"/>
      <c r="G4" s="4"/>
      <c r="H4" s="4"/>
    </row>
    <row r="5" spans="1:11" x14ac:dyDescent="0.3">
      <c r="A5" s="5" t="s">
        <v>3</v>
      </c>
      <c r="C5" s="5" t="s">
        <v>4</v>
      </c>
      <c r="E5" s="5" t="s">
        <v>5</v>
      </c>
      <c r="G5" s="5" t="s">
        <v>6</v>
      </c>
    </row>
    <row r="6" spans="1:11" ht="16.8" x14ac:dyDescent="0.3">
      <c r="A6" s="6">
        <f>'Proyección 20 años'!C5/(1+Supuestos!$B$8)</f>
        <v>294634172.87</v>
      </c>
      <c r="C6" s="6">
        <f>Ixtlahuacán!$B$11+Acapulco!$B$11+Cancún!$B$11+'Proplasa PR1'!$B$11+'Proplasa PR2'!$B$11+'Proplasa Tapas'!$B$11</f>
        <v>21558823.5</v>
      </c>
      <c r="E6" s="6">
        <f>Ixtlahuacán!$B$21+Acapulco!$B$21+Cancún!$B$21+'Proplasa PR1'!$B$21+'Proplasa PR2'!$B$21+'Proplasa Tapas'!$B$21</f>
        <v>41406317.340765297</v>
      </c>
      <c r="G6" s="7">
        <f>Ixtlahuacán!$D$17+Acapulco!$D$17+Cancún!$D$17+'Proplasa PR1'!$D$17+'Proplasa PR2'!$D$17+'Proplasa Tapas'!$D$17</f>
        <v>13063261.4255</v>
      </c>
    </row>
    <row r="8" spans="1:11" x14ac:dyDescent="0.3">
      <c r="A8" s="5" t="s">
        <v>7</v>
      </c>
      <c r="C8" s="5" t="s">
        <v>8</v>
      </c>
      <c r="E8" s="5" t="s">
        <v>9</v>
      </c>
      <c r="G8" s="5" t="s">
        <v>10</v>
      </c>
    </row>
    <row r="9" spans="1:11" ht="16.8" x14ac:dyDescent="0.3">
      <c r="A9" s="6">
        <f>Ixtlahuacán!$B$106+Acapulco!$B$106+Cancún!$B$106+'Proplasa PR1'!$B$106+'Proplasa PR2'!$B$106+'Proplasa Tapas'!$B$106</f>
        <v>134733877.75</v>
      </c>
      <c r="C9" s="6">
        <f>'Comparativo Comercial'!$B$22</f>
        <v>36826413.952258743</v>
      </c>
      <c r="E9" s="6">
        <f>'Comparativo Comercial'!$E$22</f>
        <v>14991390.018528108</v>
      </c>
      <c r="G9" s="8">
        <f>$E$6/$A$6</f>
        <v>0.1405346736851017</v>
      </c>
    </row>
    <row r="11" spans="1:11" ht="18" customHeight="1" x14ac:dyDescent="0.3">
      <c r="A11" s="3" t="s">
        <v>11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27.75" customHeight="1" x14ac:dyDescent="0.3">
      <c r="A12" s="9" t="s">
        <v>12</v>
      </c>
      <c r="B12" s="9" t="s">
        <v>13</v>
      </c>
      <c r="C12" s="9" t="s">
        <v>14</v>
      </c>
      <c r="D12" s="9" t="s">
        <v>15</v>
      </c>
      <c r="E12" s="9" t="s">
        <v>16</v>
      </c>
      <c r="F12" s="9" t="s">
        <v>17</v>
      </c>
      <c r="G12" s="9" t="s">
        <v>18</v>
      </c>
      <c r="H12" s="9" t="s">
        <v>19</v>
      </c>
      <c r="I12" s="9" t="s">
        <v>20</v>
      </c>
      <c r="J12" s="9" t="s">
        <v>21</v>
      </c>
    </row>
    <row r="13" spans="1:11" x14ac:dyDescent="0.3">
      <c r="A13" s="10" t="s">
        <v>22</v>
      </c>
      <c r="B13" s="11">
        <v>22.17</v>
      </c>
      <c r="C13" s="12" t="s">
        <v>23</v>
      </c>
      <c r="D13" s="12" t="s">
        <v>24</v>
      </c>
      <c r="E13" s="13">
        <f>Ixtlahuacán!$J$72</f>
        <v>11170648.508450959</v>
      </c>
      <c r="F13" s="14">
        <f>Ixtlahuacán!$C$21</f>
        <v>0.21259287334774465</v>
      </c>
      <c r="G13" s="13">
        <f>Ixtlahuacán!$B$106</f>
        <v>40520361.375</v>
      </c>
      <c r="H13" s="14">
        <f>Ixtlahuacán!$G$100</f>
        <v>0.30515621116007785</v>
      </c>
      <c r="I13" s="15">
        <f>Supuestos!$I$28</f>
        <v>1.5573999999999999</v>
      </c>
      <c r="J13" s="13">
        <f>Ixtlahuacán!$K$79</f>
        <v>3573170.277914498</v>
      </c>
    </row>
    <row r="14" spans="1:11" x14ac:dyDescent="0.3">
      <c r="A14" s="10" t="s">
        <v>25</v>
      </c>
      <c r="B14" s="11">
        <v>8.91</v>
      </c>
      <c r="C14" s="12" t="s">
        <v>26</v>
      </c>
      <c r="D14" s="12" t="s">
        <v>24</v>
      </c>
      <c r="E14" s="13">
        <f>Acapulco!$J$72</f>
        <v>6212518.2804859504</v>
      </c>
      <c r="F14" s="14">
        <f>Acapulco!$C$21</f>
        <v>0.21986264071193523</v>
      </c>
      <c r="G14" s="13">
        <f>Acapulco!$B$106</f>
        <v>16137624.5625</v>
      </c>
      <c r="H14" s="14">
        <f>Acapulco!$G$100</f>
        <v>0.43092558578671358</v>
      </c>
      <c r="I14" s="15">
        <f>Supuestos!$I$29</f>
        <v>1.5781000000000001</v>
      </c>
      <c r="J14" s="13">
        <f>Acapulco!$K$79</f>
        <v>3353681.2868334334</v>
      </c>
    </row>
    <row r="15" spans="1:11" x14ac:dyDescent="0.3">
      <c r="A15" s="10" t="s">
        <v>27</v>
      </c>
      <c r="B15" s="11">
        <v>4.75</v>
      </c>
      <c r="C15" s="12" t="s">
        <v>28</v>
      </c>
      <c r="D15" s="12" t="s">
        <v>29</v>
      </c>
      <c r="E15" s="13">
        <f>Cancún!$J$72</f>
        <v>4331791.8628673675</v>
      </c>
      <c r="F15" s="14">
        <f>Cancún!$C$21</f>
        <v>0.2708331913787882</v>
      </c>
      <c r="G15" s="13">
        <f>Cancún!$B$106</f>
        <v>11298734.125</v>
      </c>
      <c r="H15" s="14">
        <f>Cancún!$G$100</f>
        <v>0.4359692322611084</v>
      </c>
      <c r="I15" s="15">
        <f>Supuestos!$I$30</f>
        <v>1.6838</v>
      </c>
      <c r="J15" s="13">
        <f>Cancún!$K$79</f>
        <v>2462692.9029052546</v>
      </c>
    </row>
    <row r="16" spans="1:11" x14ac:dyDescent="0.3">
      <c r="A16" s="10" t="s">
        <v>30</v>
      </c>
      <c r="B16" s="11">
        <v>16.29</v>
      </c>
      <c r="C16" s="12" t="s">
        <v>31</v>
      </c>
      <c r="D16" s="12" t="s">
        <v>24</v>
      </c>
      <c r="E16" s="13">
        <f>'Proplasa PR1'!$J$72</f>
        <v>4517195.2699725116</v>
      </c>
      <c r="F16" s="14">
        <f>'Proplasa PR1'!$C$21</f>
        <v>0.1403800439883843</v>
      </c>
      <c r="G16" s="13">
        <f>'Proplasa PR1'!$B$106</f>
        <v>15864454.125</v>
      </c>
      <c r="H16" s="14">
        <f>'Proplasa PR1'!$G$100</f>
        <v>0.28566511637404579</v>
      </c>
      <c r="I16" s="15">
        <f>Supuestos!$I$31</f>
        <v>1.5891</v>
      </c>
      <c r="J16" s="13">
        <f>'Proplasa PR1'!$K$79</f>
        <v>1246444.2003433425</v>
      </c>
    </row>
    <row r="17" spans="1:11" x14ac:dyDescent="0.3">
      <c r="A17" s="10" t="s">
        <v>32</v>
      </c>
      <c r="B17" s="11">
        <v>45.72</v>
      </c>
      <c r="C17" s="12" t="s">
        <v>33</v>
      </c>
      <c r="D17" s="12" t="s">
        <v>24</v>
      </c>
      <c r="E17" s="13">
        <f>'Proplasa PR2'!$J$72</f>
        <v>9667366.0786651224</v>
      </c>
      <c r="F17" s="14">
        <f>'Proplasa PR2'!$C$21</f>
        <v>9.4651182904470804E-2</v>
      </c>
      <c r="G17" s="13">
        <f>'Proplasa PR2'!$B$106</f>
        <v>32640389.4375</v>
      </c>
      <c r="H17" s="14">
        <f>'Proplasa PR2'!$G$100</f>
        <v>0.28926483285891824</v>
      </c>
      <c r="I17" s="15">
        <f>Supuestos!$I$32</f>
        <v>1.6116999999999999</v>
      </c>
      <c r="J17" s="13">
        <f>'Proplasa PR2'!$K$79</f>
        <v>2748991.2241701353</v>
      </c>
    </row>
    <row r="18" spans="1:11" x14ac:dyDescent="0.3">
      <c r="A18" s="10" t="s">
        <v>34</v>
      </c>
      <c r="B18" s="11">
        <v>30.03</v>
      </c>
      <c r="C18" s="12" t="s">
        <v>35</v>
      </c>
      <c r="D18" s="12" t="s">
        <v>24</v>
      </c>
      <c r="E18" s="13">
        <f>'Proplasa Tapas'!$J$72</f>
        <v>5506797.3403233904</v>
      </c>
      <c r="F18" s="14">
        <f>'Proplasa Tapas'!$C$21</f>
        <v>8.6688996231325505E-2</v>
      </c>
      <c r="G18" s="13">
        <f>'Proplasa Tapas'!$B$106</f>
        <v>18272314.125</v>
      </c>
      <c r="H18" s="14">
        <f>'Proplasa Tapas'!$G$100</f>
        <v>0.29125500722891995</v>
      </c>
      <c r="I18" s="15">
        <f>Supuestos!$I$33</f>
        <v>1.6088</v>
      </c>
      <c r="J18" s="13">
        <f>'Proplasa Tapas'!$K$79</f>
        <v>1606410.1263614444</v>
      </c>
    </row>
    <row r="19" spans="1:11" x14ac:dyDescent="0.3">
      <c r="A19" s="16" t="s">
        <v>36</v>
      </c>
      <c r="B19" s="17">
        <f>SUM(B13:B18)</f>
        <v>127.87</v>
      </c>
      <c r="C19" s="18"/>
      <c r="D19" s="18"/>
      <c r="E19" s="19">
        <f>SUM(E13:E18)</f>
        <v>41406317.340765297</v>
      </c>
      <c r="F19" s="18"/>
      <c r="G19" s="19">
        <f>SUM(G13:G18)</f>
        <v>134733877.75</v>
      </c>
      <c r="H19" s="18"/>
      <c r="I19" s="18"/>
      <c r="J19" s="19">
        <f>SUM(J13:J18)</f>
        <v>14991390.018528108</v>
      </c>
    </row>
    <row r="21" spans="1:11" ht="15" customHeight="1" x14ac:dyDescent="0.3">
      <c r="A21" s="98" t="s">
        <v>37</v>
      </c>
      <c r="B21" s="98"/>
      <c r="C21" s="98"/>
      <c r="D21" s="98"/>
      <c r="E21" s="98"/>
      <c r="F21" s="98"/>
      <c r="G21" s="98"/>
      <c r="H21" s="98"/>
      <c r="I21" s="98"/>
      <c r="J21" s="98"/>
    </row>
    <row r="22" spans="1:11" x14ac:dyDescent="0.3">
      <c r="A22" s="98"/>
      <c r="B22" s="98"/>
      <c r="C22" s="98"/>
      <c r="D22" s="98"/>
      <c r="E22" s="98"/>
      <c r="F22" s="98"/>
      <c r="G22" s="98"/>
      <c r="H22" s="98"/>
      <c r="I22" s="98"/>
      <c r="J22" s="98"/>
    </row>
    <row r="24" spans="1:11" ht="18" customHeight="1" x14ac:dyDescent="0.3">
      <c r="A24" s="3" t="s">
        <v>38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5" customHeight="1" x14ac:dyDescent="0.3">
      <c r="A25" s="99" t="s">
        <v>39</v>
      </c>
      <c r="B25" s="99"/>
      <c r="C25" s="99"/>
      <c r="D25" s="99"/>
      <c r="E25" s="99"/>
      <c r="F25" s="99"/>
      <c r="G25" s="99"/>
      <c r="H25" s="99"/>
      <c r="I25" s="99"/>
      <c r="J25" s="99"/>
      <c r="K25" s="99"/>
    </row>
    <row r="26" spans="1:11" x14ac:dyDescent="0.3">
      <c r="A26" s="99"/>
      <c r="B26" s="99"/>
      <c r="C26" s="99"/>
      <c r="D26" s="99"/>
      <c r="E26" s="99"/>
      <c r="F26" s="99"/>
      <c r="G26" s="99"/>
      <c r="H26" s="99"/>
      <c r="I26" s="99"/>
      <c r="J26" s="99"/>
      <c r="K26" s="99"/>
    </row>
    <row r="27" spans="1:11" x14ac:dyDescent="0.3">
      <c r="A27" s="99"/>
      <c r="B27" s="99"/>
      <c r="C27" s="99"/>
      <c r="D27" s="99"/>
      <c r="E27" s="99"/>
      <c r="F27" s="99"/>
      <c r="G27" s="99"/>
      <c r="H27" s="99"/>
      <c r="I27" s="99"/>
      <c r="J27" s="99"/>
      <c r="K27" s="99"/>
    </row>
    <row r="28" spans="1:11" x14ac:dyDescent="0.3">
      <c r="A28" s="99"/>
      <c r="B28" s="99"/>
      <c r="C28" s="99"/>
      <c r="D28" s="99"/>
      <c r="E28" s="99"/>
      <c r="F28" s="99"/>
      <c r="G28" s="99"/>
      <c r="H28" s="99"/>
      <c r="I28" s="99"/>
      <c r="J28" s="99"/>
      <c r="K28" s="99"/>
    </row>
  </sheetData>
  <mergeCells count="2">
    <mergeCell ref="A21:J22"/>
    <mergeCell ref="A25:K2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9"/>
  <sheetViews>
    <sheetView showGridLines="0" zoomScaleNormal="100" workbookViewId="0">
      <pane ySplit="3" topLeftCell="A4" activePane="bottomLeft" state="frozen"/>
      <selection pane="bottomLeft" activeCell="H79" sqref="H79"/>
    </sheetView>
  </sheetViews>
  <sheetFormatPr defaultColWidth="8.6640625" defaultRowHeight="14.4" x14ac:dyDescent="0.3"/>
  <cols>
    <col min="1" max="1" width="34" customWidth="1"/>
    <col min="2" max="18" width="12" customWidth="1"/>
  </cols>
  <sheetData>
    <row r="1" spans="1:12" ht="16.8" x14ac:dyDescent="0.3">
      <c r="A1" s="20" t="s">
        <v>99</v>
      </c>
    </row>
    <row r="2" spans="1:12" x14ac:dyDescent="0.3">
      <c r="A2" s="5" t="s">
        <v>100</v>
      </c>
    </row>
    <row r="3" spans="1:12" x14ac:dyDescent="0.3">
      <c r="A3" s="29" t="s">
        <v>101</v>
      </c>
    </row>
    <row r="5" spans="1:12" ht="18" customHeight="1" x14ac:dyDescent="0.3">
      <c r="A5" s="3" t="s">
        <v>102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3">
      <c r="A6" s="10" t="s">
        <v>85</v>
      </c>
      <c r="B6" s="30">
        <f>Supuestos!$B$28</f>
        <v>2529.67</v>
      </c>
      <c r="C6" s="10" t="s">
        <v>86</v>
      </c>
      <c r="D6" s="30">
        <f>Supuestos!$C$28</f>
        <v>751.5</v>
      </c>
      <c r="E6" s="10" t="s">
        <v>87</v>
      </c>
      <c r="F6" s="30">
        <f>Supuestos!$D$28</f>
        <v>1470</v>
      </c>
      <c r="G6" s="23" t="s">
        <v>103</v>
      </c>
      <c r="H6" s="31">
        <f>Supuestos!$D$28*Supuestos!$B$17*SQRT(Supuestos!$B$18)</f>
        <v>1382.6879700062484</v>
      </c>
      <c r="I6" s="10" t="s">
        <v>104</v>
      </c>
      <c r="J6" s="32" t="str">
        <f>Supuestos!$E$28</f>
        <v>No</v>
      </c>
      <c r="K6" s="5" t="s">
        <v>105</v>
      </c>
      <c r="L6" s="33">
        <f>$B$10/(SUM(P45:P56)+SUM(R30:R41))</f>
        <v>1.0327957671656591</v>
      </c>
    </row>
    <row r="8" spans="1:12" ht="18" customHeight="1" x14ac:dyDescent="0.3">
      <c r="A8" s="3" t="s">
        <v>106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3">
      <c r="A9" s="34" t="s">
        <v>107</v>
      </c>
      <c r="B9" s="34" t="s">
        <v>108</v>
      </c>
      <c r="C9" s="34" t="s">
        <v>109</v>
      </c>
      <c r="D9" s="34" t="s">
        <v>110</v>
      </c>
      <c r="E9" s="34" t="s">
        <v>111</v>
      </c>
    </row>
    <row r="10" spans="1:12" x14ac:dyDescent="0.3">
      <c r="A10" s="10" t="s">
        <v>112</v>
      </c>
      <c r="B10" s="35">
        <v>55226961.200000003</v>
      </c>
      <c r="C10" s="36">
        <f>B10/D10</f>
        <v>2.4908516579011497</v>
      </c>
      <c r="D10" s="31">
        <v>22171919</v>
      </c>
      <c r="E10" s="5" t="s">
        <v>113</v>
      </c>
    </row>
    <row r="11" spans="1:12" x14ac:dyDescent="0.3">
      <c r="A11" s="23" t="s">
        <v>114</v>
      </c>
      <c r="B11" s="37">
        <v>2682168.27</v>
      </c>
      <c r="E11" s="5" t="s">
        <v>115</v>
      </c>
    </row>
    <row r="12" spans="1:12" x14ac:dyDescent="0.3">
      <c r="A12" s="38" t="s">
        <v>116</v>
      </c>
      <c r="B12" s="39">
        <f>B10-B11</f>
        <v>52544792.93</v>
      </c>
      <c r="C12" s="40">
        <f>B12/D12</f>
        <v>2.3698802494272146</v>
      </c>
      <c r="D12" s="41">
        <f>D10</f>
        <v>22171919</v>
      </c>
      <c r="E12" s="42"/>
    </row>
    <row r="13" spans="1:12" x14ac:dyDescent="0.3">
      <c r="A13" s="5" t="s">
        <v>117</v>
      </c>
      <c r="B13" s="43">
        <v>28405278.539999999</v>
      </c>
      <c r="C13" s="33">
        <f>B13/D13</f>
        <v>2.5373126491454907</v>
      </c>
      <c r="D13" s="44">
        <v>11195025</v>
      </c>
    </row>
    <row r="14" spans="1:12" x14ac:dyDescent="0.3">
      <c r="A14" s="5" t="s">
        <v>118</v>
      </c>
      <c r="B14" s="43">
        <v>24139514.399999999</v>
      </c>
      <c r="C14" s="33">
        <f>B14/D14</f>
        <v>2.1991206620014729</v>
      </c>
      <c r="D14" s="44">
        <v>10976894</v>
      </c>
    </row>
    <row r="16" spans="1:12" x14ac:dyDescent="0.3">
      <c r="A16" s="45" t="s">
        <v>119</v>
      </c>
    </row>
    <row r="17" spans="1:18" x14ac:dyDescent="0.3">
      <c r="A17" s="23" t="s">
        <v>120</v>
      </c>
      <c r="B17" s="37">
        <f>F72</f>
        <v>9332483.0421510991</v>
      </c>
      <c r="D17" s="31">
        <f>C72</f>
        <v>4511666.4450000003</v>
      </c>
      <c r="E17" s="5" t="s">
        <v>121</v>
      </c>
    </row>
    <row r="18" spans="1:18" x14ac:dyDescent="0.3">
      <c r="A18" s="23" t="s">
        <v>122</v>
      </c>
      <c r="B18" s="37">
        <f>G72</f>
        <v>1838165.4662998603</v>
      </c>
    </row>
    <row r="19" spans="1:18" x14ac:dyDescent="0.3">
      <c r="A19" s="23" t="s">
        <v>123</v>
      </c>
      <c r="B19" s="37">
        <f>H72</f>
        <v>0</v>
      </c>
      <c r="E19" s="5" t="s">
        <v>124</v>
      </c>
    </row>
    <row r="20" spans="1:18" x14ac:dyDescent="0.3">
      <c r="A20" s="46" t="s">
        <v>125</v>
      </c>
      <c r="B20" s="35">
        <f>B12-B17-B18-B19</f>
        <v>41374144.421549037</v>
      </c>
      <c r="C20" s="47"/>
      <c r="D20" s="47"/>
      <c r="E20" s="47"/>
    </row>
    <row r="21" spans="1:18" x14ac:dyDescent="0.3">
      <c r="A21" s="48" t="s">
        <v>126</v>
      </c>
      <c r="B21" s="49">
        <f>B17+B18+B19</f>
        <v>11170648.508450959</v>
      </c>
      <c r="C21" s="50">
        <f>B21/B12</f>
        <v>0.21259287334774465</v>
      </c>
    </row>
    <row r="22" spans="1:18" x14ac:dyDescent="0.3">
      <c r="A22" s="48" t="s">
        <v>127</v>
      </c>
      <c r="B22" s="49">
        <f>B10-B20</f>
        <v>13852816.778450966</v>
      </c>
      <c r="C22" s="50">
        <f>B22/B10</f>
        <v>0.25083431131189898</v>
      </c>
    </row>
    <row r="24" spans="1:18" ht="18" customHeight="1" x14ac:dyDescent="0.3">
      <c r="A24" s="3" t="s">
        <v>128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8" x14ac:dyDescent="0.3">
      <c r="A25" s="23" t="s">
        <v>129</v>
      </c>
      <c r="B25" s="37">
        <f>$B$6*1000*Supuestos!$F$28*Supuestos!$B$5</f>
        <v>33296781.375</v>
      </c>
      <c r="C25" s="23" t="s">
        <v>130</v>
      </c>
      <c r="D25" s="37">
        <f>$F$6*Supuestos!$G$28*Supuestos!$B$5</f>
        <v>7223580</v>
      </c>
    </row>
    <row r="26" spans="1:18" x14ac:dyDescent="0.3">
      <c r="A26" s="23" t="s">
        <v>131</v>
      </c>
      <c r="B26" s="51">
        <f>Supuestos!$H$28</f>
        <v>0</v>
      </c>
      <c r="C26" s="10" t="s">
        <v>132</v>
      </c>
      <c r="D26" s="35">
        <f>B25+D25+B26</f>
        <v>40520361.375</v>
      </c>
      <c r="E26" s="2" t="s">
        <v>133</v>
      </c>
    </row>
    <row r="28" spans="1:18" ht="18" customHeight="1" x14ac:dyDescent="0.3">
      <c r="A28" s="3" t="s">
        <v>134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ht="25.5" customHeight="1" x14ac:dyDescent="0.3">
      <c r="A29" s="52" t="s">
        <v>135</v>
      </c>
      <c r="B29" s="52" t="s">
        <v>136</v>
      </c>
      <c r="C29" s="52" t="s">
        <v>137</v>
      </c>
      <c r="D29" s="52" t="s">
        <v>138</v>
      </c>
      <c r="E29" s="52" t="s">
        <v>139</v>
      </c>
      <c r="F29" s="52" t="s">
        <v>140</v>
      </c>
      <c r="G29" s="52" t="s">
        <v>141</v>
      </c>
      <c r="H29" s="52" t="s">
        <v>142</v>
      </c>
      <c r="I29" s="52" t="s">
        <v>143</v>
      </c>
      <c r="J29" s="52" t="s">
        <v>144</v>
      </c>
      <c r="K29" s="52" t="s">
        <v>145</v>
      </c>
      <c r="L29" s="52" t="s">
        <v>146</v>
      </c>
      <c r="M29" s="52" t="s">
        <v>147</v>
      </c>
      <c r="N29" s="52" t="s">
        <v>148</v>
      </c>
      <c r="O29" s="52" t="s">
        <v>149</v>
      </c>
      <c r="P29" s="52" t="s">
        <v>150</v>
      </c>
      <c r="Q29" s="52" t="s">
        <v>151</v>
      </c>
      <c r="R29" s="52" t="s">
        <v>152</v>
      </c>
    </row>
    <row r="30" spans="1:18" x14ac:dyDescent="0.3">
      <c r="A30" s="53" t="s">
        <v>153</v>
      </c>
      <c r="B30" s="54">
        <v>526734</v>
      </c>
      <c r="C30" s="54">
        <v>883555</v>
      </c>
      <c r="D30" s="54">
        <v>248906</v>
      </c>
      <c r="E30" s="54">
        <v>31</v>
      </c>
      <c r="F30" s="54">
        <v>3356</v>
      </c>
      <c r="G30" s="54">
        <v>3473</v>
      </c>
      <c r="H30" s="55">
        <v>1.7722500000000001</v>
      </c>
      <c r="I30" s="55">
        <v>1.078225</v>
      </c>
      <c r="J30" s="55">
        <v>2.0940500000000002</v>
      </c>
      <c r="K30" s="54">
        <v>402.07</v>
      </c>
      <c r="L30" s="56">
        <v>0</v>
      </c>
      <c r="M30" s="54">
        <v>991.97</v>
      </c>
      <c r="N30" s="55">
        <v>147.1</v>
      </c>
      <c r="O30" s="57">
        <v>1</v>
      </c>
      <c r="P30" s="54">
        <v>4</v>
      </c>
      <c r="Q30" s="54">
        <v>22</v>
      </c>
      <c r="R30" s="58">
        <v>-12380.66</v>
      </c>
    </row>
    <row r="31" spans="1:18" x14ac:dyDescent="0.3">
      <c r="A31" s="53" t="s">
        <v>154</v>
      </c>
      <c r="B31" s="54">
        <v>465212</v>
      </c>
      <c r="C31" s="54">
        <v>827425</v>
      </c>
      <c r="D31" s="54">
        <v>142578</v>
      </c>
      <c r="E31" s="54">
        <v>28</v>
      </c>
      <c r="F31" s="54">
        <v>3456</v>
      </c>
      <c r="G31" s="54">
        <v>3621</v>
      </c>
      <c r="H31" s="55">
        <v>1.7722500000000001</v>
      </c>
      <c r="I31" s="55">
        <v>1.078225</v>
      </c>
      <c r="J31" s="55">
        <v>2.0940500000000002</v>
      </c>
      <c r="K31" s="54">
        <v>402.07</v>
      </c>
      <c r="L31" s="56">
        <v>0</v>
      </c>
      <c r="M31" s="54">
        <v>991.97</v>
      </c>
      <c r="N31" s="55">
        <v>142.5</v>
      </c>
      <c r="O31" s="57">
        <v>1</v>
      </c>
      <c r="P31" s="54">
        <v>4</v>
      </c>
      <c r="Q31" s="54">
        <v>19</v>
      </c>
      <c r="R31" s="58">
        <v>0</v>
      </c>
    </row>
    <row r="32" spans="1:18" x14ac:dyDescent="0.3">
      <c r="A32" s="53" t="s">
        <v>155</v>
      </c>
      <c r="B32" s="54">
        <v>716956</v>
      </c>
      <c r="C32" s="54">
        <v>1033469</v>
      </c>
      <c r="D32" s="54">
        <v>168358</v>
      </c>
      <c r="E32" s="54">
        <v>31</v>
      </c>
      <c r="F32" s="54">
        <v>3932</v>
      </c>
      <c r="G32" s="54">
        <v>3934</v>
      </c>
      <c r="H32" s="55">
        <v>1.7722500000000001</v>
      </c>
      <c r="I32" s="55">
        <v>1.078225</v>
      </c>
      <c r="J32" s="55">
        <v>2.0940500000000002</v>
      </c>
      <c r="K32" s="54">
        <v>402.07</v>
      </c>
      <c r="L32" s="56">
        <v>0</v>
      </c>
      <c r="M32" s="54">
        <v>991.97</v>
      </c>
      <c r="N32" s="55">
        <v>180.5</v>
      </c>
      <c r="O32" s="57">
        <v>1</v>
      </c>
      <c r="P32" s="54">
        <v>4</v>
      </c>
      <c r="Q32" s="54">
        <v>20</v>
      </c>
      <c r="R32" s="58">
        <v>-9319.35</v>
      </c>
    </row>
    <row r="33" spans="1:18" x14ac:dyDescent="0.3">
      <c r="A33" s="53" t="s">
        <v>156</v>
      </c>
      <c r="B33" s="54">
        <v>573723</v>
      </c>
      <c r="C33" s="54">
        <v>1158862</v>
      </c>
      <c r="D33" s="54">
        <v>139082</v>
      </c>
      <c r="E33" s="54">
        <v>30</v>
      </c>
      <c r="F33" s="54">
        <v>5896</v>
      </c>
      <c r="G33" s="54">
        <v>6180</v>
      </c>
      <c r="H33" s="55">
        <v>1.7722500000000001</v>
      </c>
      <c r="I33" s="55">
        <v>1.078225</v>
      </c>
      <c r="J33" s="55">
        <v>2.0940500000000002</v>
      </c>
      <c r="K33" s="54">
        <v>402.07</v>
      </c>
      <c r="L33" s="56">
        <v>0</v>
      </c>
      <c r="M33" s="54">
        <v>991.97</v>
      </c>
      <c r="N33" s="55">
        <v>168.5</v>
      </c>
      <c r="O33" s="57">
        <v>1</v>
      </c>
      <c r="P33" s="54">
        <v>2</v>
      </c>
      <c r="Q33" s="54">
        <v>22</v>
      </c>
      <c r="R33" s="58">
        <v>-5439.0278265520001</v>
      </c>
    </row>
    <row r="34" spans="1:18" x14ac:dyDescent="0.3">
      <c r="A34" s="53" t="s">
        <v>157</v>
      </c>
      <c r="B34" s="54">
        <v>664426</v>
      </c>
      <c r="C34" s="54">
        <v>1271980</v>
      </c>
      <c r="D34" s="54">
        <v>118279</v>
      </c>
      <c r="E34" s="54">
        <v>31</v>
      </c>
      <c r="F34" s="54">
        <v>7008</v>
      </c>
      <c r="G34" s="54">
        <v>7508</v>
      </c>
      <c r="H34" s="55">
        <v>1.7722500000000001</v>
      </c>
      <c r="I34" s="55">
        <v>1.078225</v>
      </c>
      <c r="J34" s="55">
        <v>2.0940500000000002</v>
      </c>
      <c r="K34" s="54">
        <v>402.07</v>
      </c>
      <c r="L34" s="56">
        <v>0</v>
      </c>
      <c r="M34" s="54">
        <v>991.97</v>
      </c>
      <c r="N34" s="55">
        <v>162.69999999999999</v>
      </c>
      <c r="O34" s="57">
        <v>1</v>
      </c>
      <c r="P34" s="54">
        <v>2</v>
      </c>
      <c r="Q34" s="54">
        <v>21</v>
      </c>
      <c r="R34" s="58">
        <v>0</v>
      </c>
    </row>
    <row r="35" spans="1:18" x14ac:dyDescent="0.3">
      <c r="A35" s="53" t="s">
        <v>158</v>
      </c>
      <c r="B35" s="54">
        <v>630738</v>
      </c>
      <c r="C35" s="54">
        <v>1133752</v>
      </c>
      <c r="D35" s="54">
        <v>116822</v>
      </c>
      <c r="E35" s="54">
        <v>30</v>
      </c>
      <c r="F35" s="54">
        <v>3402</v>
      </c>
      <c r="G35" s="54">
        <v>3618</v>
      </c>
      <c r="H35" s="55">
        <v>1.7722500000000001</v>
      </c>
      <c r="I35" s="55">
        <v>1.078225</v>
      </c>
      <c r="J35" s="55">
        <v>2.0940500000000002</v>
      </c>
      <c r="K35" s="54">
        <v>402.07</v>
      </c>
      <c r="L35" s="56">
        <v>0</v>
      </c>
      <c r="M35" s="54">
        <v>991.97</v>
      </c>
      <c r="N35" s="55">
        <v>148.1</v>
      </c>
      <c r="O35" s="57">
        <v>1</v>
      </c>
      <c r="P35" s="54">
        <v>2</v>
      </c>
      <c r="Q35" s="54">
        <v>21</v>
      </c>
      <c r="R35" s="58">
        <v>0</v>
      </c>
    </row>
    <row r="36" spans="1:18" x14ac:dyDescent="0.3">
      <c r="A36" s="53" t="s">
        <v>159</v>
      </c>
      <c r="B36" s="54">
        <v>534017</v>
      </c>
      <c r="C36" s="54">
        <v>1146833</v>
      </c>
      <c r="D36" s="54">
        <v>122085</v>
      </c>
      <c r="E36" s="54">
        <v>31</v>
      </c>
      <c r="F36" s="54">
        <v>3369</v>
      </c>
      <c r="G36" s="54">
        <v>3683</v>
      </c>
      <c r="H36" s="55">
        <v>1.7722500000000001</v>
      </c>
      <c r="I36" s="55">
        <v>1.078225</v>
      </c>
      <c r="J36" s="55">
        <v>2.0940500000000002</v>
      </c>
      <c r="K36" s="54">
        <v>402.07</v>
      </c>
      <c r="L36" s="56">
        <v>0</v>
      </c>
      <c r="M36" s="54">
        <v>991.97</v>
      </c>
      <c r="N36" s="55">
        <v>138.6</v>
      </c>
      <c r="O36" s="57">
        <v>1</v>
      </c>
      <c r="P36" s="54">
        <v>2</v>
      </c>
      <c r="Q36" s="54">
        <v>23</v>
      </c>
      <c r="R36" s="58">
        <v>-4632.13</v>
      </c>
    </row>
    <row r="37" spans="1:18" x14ac:dyDescent="0.3">
      <c r="A37" s="53" t="s">
        <v>160</v>
      </c>
      <c r="B37" s="54">
        <v>701321</v>
      </c>
      <c r="C37" s="54">
        <v>1065260</v>
      </c>
      <c r="D37" s="54">
        <v>176568</v>
      </c>
      <c r="E37" s="54">
        <v>31</v>
      </c>
      <c r="F37" s="54">
        <v>3760</v>
      </c>
      <c r="G37" s="54">
        <v>3819</v>
      </c>
      <c r="H37" s="55">
        <v>1.7722500000000001</v>
      </c>
      <c r="I37" s="55">
        <v>1.078225</v>
      </c>
      <c r="J37" s="55">
        <v>2.0940500000000002</v>
      </c>
      <c r="K37" s="54">
        <v>402.07</v>
      </c>
      <c r="L37" s="56">
        <v>0</v>
      </c>
      <c r="M37" s="54">
        <v>991.97</v>
      </c>
      <c r="N37" s="55">
        <v>131.69999999999999</v>
      </c>
      <c r="O37" s="57">
        <v>1</v>
      </c>
      <c r="P37" s="54">
        <v>2</v>
      </c>
      <c r="Q37" s="54">
        <v>21</v>
      </c>
      <c r="R37" s="58">
        <v>14752.23</v>
      </c>
    </row>
    <row r="38" spans="1:18" x14ac:dyDescent="0.3">
      <c r="A38" s="53" t="s">
        <v>161</v>
      </c>
      <c r="B38" s="54">
        <v>593175</v>
      </c>
      <c r="C38" s="54">
        <v>941250</v>
      </c>
      <c r="D38" s="54">
        <v>167798</v>
      </c>
      <c r="E38" s="54">
        <v>30</v>
      </c>
      <c r="F38" s="54">
        <v>3451</v>
      </c>
      <c r="G38" s="54">
        <v>3551</v>
      </c>
      <c r="H38" s="55">
        <v>1.7722500000000001</v>
      </c>
      <c r="I38" s="55">
        <v>1.078225</v>
      </c>
      <c r="J38" s="55">
        <v>2.0940500000000002</v>
      </c>
      <c r="K38" s="54">
        <v>402.07</v>
      </c>
      <c r="L38" s="56">
        <v>0</v>
      </c>
      <c r="M38" s="54">
        <v>991.97</v>
      </c>
      <c r="N38" s="55">
        <v>126.7</v>
      </c>
      <c r="O38" s="57">
        <v>1</v>
      </c>
      <c r="P38" s="54">
        <v>2</v>
      </c>
      <c r="Q38" s="54">
        <v>21</v>
      </c>
      <c r="R38" s="58">
        <v>-8690.4500000000007</v>
      </c>
    </row>
    <row r="39" spans="1:18" x14ac:dyDescent="0.3">
      <c r="A39" s="53" t="s">
        <v>162</v>
      </c>
      <c r="B39" s="54">
        <v>641906</v>
      </c>
      <c r="C39" s="54">
        <v>1065460</v>
      </c>
      <c r="D39" s="54">
        <v>218540</v>
      </c>
      <c r="E39" s="54">
        <v>31</v>
      </c>
      <c r="F39" s="54">
        <v>3682</v>
      </c>
      <c r="G39" s="54">
        <v>3861</v>
      </c>
      <c r="H39" s="55">
        <v>1.7722500000000001</v>
      </c>
      <c r="I39" s="55">
        <v>1.078225</v>
      </c>
      <c r="J39" s="55">
        <v>2.0940500000000002</v>
      </c>
      <c r="K39" s="54">
        <v>402.07</v>
      </c>
      <c r="L39" s="56">
        <v>0</v>
      </c>
      <c r="M39" s="54">
        <v>991.97</v>
      </c>
      <c r="N39" s="55">
        <v>146.80000000000001</v>
      </c>
      <c r="O39" s="57">
        <v>1</v>
      </c>
      <c r="P39" s="54">
        <v>2</v>
      </c>
      <c r="Q39" s="54">
        <v>23</v>
      </c>
      <c r="R39" s="58">
        <v>6997.92</v>
      </c>
    </row>
    <row r="40" spans="1:18" x14ac:dyDescent="0.3">
      <c r="A40" s="53" t="s">
        <v>163</v>
      </c>
      <c r="B40" s="54">
        <v>719936</v>
      </c>
      <c r="C40" s="54">
        <v>965437</v>
      </c>
      <c r="D40" s="54">
        <v>254095</v>
      </c>
      <c r="E40" s="54">
        <v>30</v>
      </c>
      <c r="F40" s="54">
        <v>3754</v>
      </c>
      <c r="G40" s="54">
        <v>3846</v>
      </c>
      <c r="H40" s="55">
        <v>1.7722500000000001</v>
      </c>
      <c r="I40" s="55">
        <v>1.078225</v>
      </c>
      <c r="J40" s="55">
        <v>2.0940500000000002</v>
      </c>
      <c r="K40" s="54">
        <v>402.07</v>
      </c>
      <c r="L40" s="56">
        <v>0</v>
      </c>
      <c r="M40" s="54">
        <v>991.97</v>
      </c>
      <c r="N40" s="55">
        <v>151.9</v>
      </c>
      <c r="O40" s="57">
        <v>1</v>
      </c>
      <c r="P40" s="54">
        <v>4</v>
      </c>
      <c r="Q40" s="54">
        <v>19</v>
      </c>
      <c r="R40" s="58">
        <v>33619.410000000003</v>
      </c>
    </row>
    <row r="41" spans="1:18" x14ac:dyDescent="0.3">
      <c r="A41" s="53" t="s">
        <v>164</v>
      </c>
      <c r="B41" s="54">
        <v>704647</v>
      </c>
      <c r="C41" s="54">
        <v>1049782</v>
      </c>
      <c r="D41" s="54">
        <v>282952</v>
      </c>
      <c r="E41" s="54">
        <v>31</v>
      </c>
      <c r="F41" s="54">
        <v>5731</v>
      </c>
      <c r="G41" s="54">
        <v>5866</v>
      </c>
      <c r="H41" s="55">
        <v>1.7722500000000001</v>
      </c>
      <c r="I41" s="55">
        <v>1.078225</v>
      </c>
      <c r="J41" s="55">
        <v>2.0940500000000002</v>
      </c>
      <c r="K41" s="54">
        <v>402.07</v>
      </c>
      <c r="L41" s="56">
        <v>0</v>
      </c>
      <c r="M41" s="54">
        <v>991.97</v>
      </c>
      <c r="N41" s="55">
        <v>138.4</v>
      </c>
      <c r="O41" s="57">
        <v>1</v>
      </c>
      <c r="P41" s="54">
        <v>4</v>
      </c>
      <c r="Q41" s="54">
        <v>22</v>
      </c>
      <c r="R41" s="58">
        <v>14.15</v>
      </c>
    </row>
    <row r="42" spans="1:18" ht="18" customHeight="1" x14ac:dyDescent="0.3">
      <c r="A42" s="3" t="s">
        <v>165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8" ht="25.5" customHeight="1" x14ac:dyDescent="0.3">
      <c r="A43" s="52" t="s">
        <v>135</v>
      </c>
      <c r="B43" s="52" t="s">
        <v>166</v>
      </c>
      <c r="C43" s="52" t="s">
        <v>167</v>
      </c>
      <c r="D43" s="52" t="s">
        <v>168</v>
      </c>
      <c r="E43" s="52" t="s">
        <v>169</v>
      </c>
      <c r="F43" s="52" t="s">
        <v>170</v>
      </c>
      <c r="G43" s="52" t="s">
        <v>171</v>
      </c>
      <c r="H43" s="52" t="s">
        <v>172</v>
      </c>
      <c r="I43" s="52" t="s">
        <v>173</v>
      </c>
      <c r="J43" s="52" t="s">
        <v>174</v>
      </c>
      <c r="K43" s="52" t="s">
        <v>175</v>
      </c>
      <c r="L43" s="52" t="s">
        <v>176</v>
      </c>
      <c r="M43" s="52" t="s">
        <v>177</v>
      </c>
      <c r="N43" s="52" t="s">
        <v>178</v>
      </c>
      <c r="O43" s="52" t="s">
        <v>179</v>
      </c>
      <c r="P43" s="52" t="s">
        <v>180</v>
      </c>
      <c r="Q43" s="52" t="s">
        <v>181</v>
      </c>
    </row>
    <row r="45" spans="1:18" x14ac:dyDescent="0.3">
      <c r="A45" s="59" t="str">
        <f t="shared" ref="A45:A56" si="0">A30</f>
        <v>Ene</v>
      </c>
      <c r="B45" s="60">
        <f t="shared" ref="B45:B56" si="1">$B$6*N30</f>
        <v>372114.45699999999</v>
      </c>
      <c r="C45" s="60">
        <f>(B30+C30+D30)/(E30*24*Supuestos!$B$16)</f>
        <v>3912.4575551782682</v>
      </c>
      <c r="D45" s="60">
        <f t="shared" ref="D45:D56" si="2">MIN(B45*O30,C30)</f>
        <v>372114.45699999999</v>
      </c>
      <c r="E45" s="61">
        <f t="shared" ref="E45:E56" si="3">D45*H30*O45</f>
        <v>593531.86177642504</v>
      </c>
      <c r="F45" s="60">
        <f>((B30+C30+D30)-D45)/(E30*24*Supuestos!$B$16)</f>
        <v>3034.9946778909643</v>
      </c>
      <c r="G45" s="60">
        <f t="shared" ref="G45:G56" si="4">MIN(F30,C45)</f>
        <v>3356</v>
      </c>
      <c r="H45" s="60">
        <f t="shared" ref="H45:H56" si="5">MIN(F30,F45)</f>
        <v>3034.9946778909643</v>
      </c>
      <c r="I45" s="61">
        <f t="shared" ref="I45:I56" si="6">(G45-H45)*K30</f>
        <v>129066.60986037996</v>
      </c>
      <c r="J45" s="60">
        <f t="shared" ref="J45:J56" si="7">IF(P30=0,0,MIN($D$6,$H$6/P30))</f>
        <v>345.6719925015621</v>
      </c>
      <c r="K45" s="60">
        <f t="shared" ref="K45:K56" si="8">MIN(MAX(F30-J45,0),F45)</f>
        <v>3010.3280074984377</v>
      </c>
      <c r="L45" s="61">
        <f t="shared" ref="L45:L56" si="9">(H45-K45)*K30</f>
        <v>9917.7281647231739</v>
      </c>
      <c r="M45" s="60">
        <f t="shared" ref="M45:M56" si="10">IF(P30=0,0,MIN($H$6*Q30,D30))</f>
        <v>30419.135340137465</v>
      </c>
      <c r="N45" s="61">
        <f>M45*J30-(M45/Supuestos!$B$18)*I30</f>
        <v>29533.906815140159</v>
      </c>
      <c r="O45" s="62">
        <v>0.9</v>
      </c>
      <c r="P45" s="61">
        <f t="shared" ref="P45:P56" si="11">M30+B30*I30+C30*H30+D30*J30+G45*K30+MIN(G30,C45)*L30</f>
        <v>4005378.6152000003</v>
      </c>
      <c r="Q45" s="61">
        <f t="shared" ref="Q45:Q56" si="12">(E45+I45)+(L45+N45)</f>
        <v>762050.10661666829</v>
      </c>
    </row>
    <row r="46" spans="1:18" x14ac:dyDescent="0.3">
      <c r="A46" s="59" t="str">
        <f t="shared" si="0"/>
        <v>Feb</v>
      </c>
      <c r="B46" s="60">
        <f t="shared" si="1"/>
        <v>360477.97500000003</v>
      </c>
      <c r="C46" s="60">
        <f>(B31+C31+D31)/(E31*24*Supuestos!$B$16)</f>
        <v>3746.9063283208025</v>
      </c>
      <c r="D46" s="60">
        <f t="shared" si="2"/>
        <v>360477.97500000003</v>
      </c>
      <c r="E46" s="61">
        <f t="shared" si="3"/>
        <v>574971.38207437517</v>
      </c>
      <c r="F46" s="60">
        <f>((B31+C31+D31)-D46)/(E31*24*Supuestos!$B$16)</f>
        <v>2805.8088580827066</v>
      </c>
      <c r="G46" s="60">
        <f t="shared" si="4"/>
        <v>3456</v>
      </c>
      <c r="H46" s="60">
        <f t="shared" si="5"/>
        <v>2805.8088580827066</v>
      </c>
      <c r="I46" s="61">
        <f t="shared" si="6"/>
        <v>261422.35243068615</v>
      </c>
      <c r="J46" s="60">
        <f t="shared" si="7"/>
        <v>345.6719925015621</v>
      </c>
      <c r="K46" s="60">
        <f t="shared" si="8"/>
        <v>2805.8088580827066</v>
      </c>
      <c r="L46" s="61">
        <f t="shared" si="9"/>
        <v>0</v>
      </c>
      <c r="M46" s="60">
        <f t="shared" si="10"/>
        <v>26271.071430118718</v>
      </c>
      <c r="N46" s="61">
        <f>M46*J31-(M46/Supuestos!$B$18)*I31</f>
        <v>25506.555885802856</v>
      </c>
      <c r="O46" s="62">
        <v>0.9</v>
      </c>
      <c r="P46" s="61">
        <f t="shared" si="11"/>
        <v>3657118.5158500001</v>
      </c>
      <c r="Q46" s="61">
        <f t="shared" si="12"/>
        <v>861900.29039086413</v>
      </c>
    </row>
    <row r="47" spans="1:18" x14ac:dyDescent="0.3">
      <c r="A47" s="59" t="str">
        <f t="shared" si="0"/>
        <v>Mar</v>
      </c>
      <c r="B47" s="60">
        <f t="shared" si="1"/>
        <v>456605.435</v>
      </c>
      <c r="C47" s="60">
        <f>(B32+C32+D32)/(E32*24*Supuestos!$B$16)</f>
        <v>4524.5779098283347</v>
      </c>
      <c r="D47" s="60">
        <f t="shared" si="2"/>
        <v>456605.435</v>
      </c>
      <c r="E47" s="61">
        <f t="shared" si="3"/>
        <v>728297.08396087505</v>
      </c>
      <c r="F47" s="60">
        <f>((B32+C32+D32)-D47)/(E32*24*Supuestos!$B$16)</f>
        <v>3447.8814492548577</v>
      </c>
      <c r="G47" s="60">
        <f t="shared" si="4"/>
        <v>3932</v>
      </c>
      <c r="H47" s="60">
        <f t="shared" si="5"/>
        <v>3447.8814492548577</v>
      </c>
      <c r="I47" s="61">
        <f t="shared" si="6"/>
        <v>194649.54569809936</v>
      </c>
      <c r="J47" s="60">
        <f t="shared" si="7"/>
        <v>345.6719925015621</v>
      </c>
      <c r="K47" s="60">
        <f t="shared" si="8"/>
        <v>3447.8814492548577</v>
      </c>
      <c r="L47" s="61">
        <f t="shared" si="9"/>
        <v>0</v>
      </c>
      <c r="M47" s="60">
        <f t="shared" si="10"/>
        <v>27653.759400124967</v>
      </c>
      <c r="N47" s="61">
        <f>M47*J32-(M47/Supuestos!$B$18)*I32</f>
        <v>26849.006195581966</v>
      </c>
      <c r="O47" s="62">
        <v>0.9</v>
      </c>
      <c r="P47" s="61">
        <f t="shared" si="11"/>
        <v>4539086.5982499998</v>
      </c>
      <c r="Q47" s="61">
        <f t="shared" si="12"/>
        <v>949795.63585455646</v>
      </c>
    </row>
    <row r="48" spans="1:18" x14ac:dyDescent="0.3">
      <c r="A48" s="59" t="str">
        <f t="shared" si="0"/>
        <v>Abr</v>
      </c>
      <c r="B48" s="60">
        <f t="shared" si="1"/>
        <v>426249.39500000002</v>
      </c>
      <c r="C48" s="60">
        <f>(B33+C33+D33)/(E33*24*Supuestos!$B$16)</f>
        <v>4560.5921052631584</v>
      </c>
      <c r="D48" s="60">
        <f t="shared" si="2"/>
        <v>426249.39500000002</v>
      </c>
      <c r="E48" s="61">
        <f t="shared" si="3"/>
        <v>679878.44125987508</v>
      </c>
      <c r="F48" s="60">
        <f>((B33+C33+D33)-D48)/(E33*24*Supuestos!$B$16)</f>
        <v>3521.9727217348927</v>
      </c>
      <c r="G48" s="60">
        <f t="shared" si="4"/>
        <v>4560.5921052631584</v>
      </c>
      <c r="H48" s="60">
        <f t="shared" si="5"/>
        <v>3521.9727217348927</v>
      </c>
      <c r="I48" s="61">
        <f t="shared" si="6"/>
        <v>417597.69553520979</v>
      </c>
      <c r="J48" s="60">
        <f t="shared" si="7"/>
        <v>691.3439850031242</v>
      </c>
      <c r="K48" s="60">
        <f t="shared" si="8"/>
        <v>3521.9727217348927</v>
      </c>
      <c r="L48" s="61">
        <f t="shared" si="9"/>
        <v>0</v>
      </c>
      <c r="M48" s="60">
        <f t="shared" si="10"/>
        <v>30419.135340137465</v>
      </c>
      <c r="N48" s="61">
        <f>M48*J33-(M48/Supuestos!$B$18)*I33</f>
        <v>29533.906815140159</v>
      </c>
      <c r="O48" s="62">
        <v>0.9</v>
      </c>
      <c r="P48" s="61">
        <f t="shared" si="11"/>
        <v>4798309.5610381579</v>
      </c>
      <c r="Q48" s="61">
        <f t="shared" si="12"/>
        <v>1127010.043610225</v>
      </c>
    </row>
    <row r="49" spans="1:17" x14ac:dyDescent="0.3">
      <c r="A49" s="59" t="str">
        <f t="shared" si="0"/>
        <v>May</v>
      </c>
      <c r="B49" s="60">
        <f t="shared" si="1"/>
        <v>411577.30900000001</v>
      </c>
      <c r="C49" s="60">
        <f>(B34+C34+D34)/(E34*24*Supuestos!$B$16)</f>
        <v>4845.0410299943405</v>
      </c>
      <c r="D49" s="60">
        <f t="shared" si="2"/>
        <v>411577.30900000001</v>
      </c>
      <c r="E49" s="61">
        <f t="shared" si="3"/>
        <v>656476.09728772508</v>
      </c>
      <c r="F49" s="60">
        <f>((B34+C34+D34)-D49)/(E34*24*Supuestos!$B$16)</f>
        <v>3874.5229461422377</v>
      </c>
      <c r="G49" s="60">
        <f t="shared" si="4"/>
        <v>4845.0410299943405</v>
      </c>
      <c r="H49" s="60">
        <f t="shared" si="5"/>
        <v>3874.5229461422377</v>
      </c>
      <c r="I49" s="61">
        <f t="shared" si="6"/>
        <v>390216.20597441494</v>
      </c>
      <c r="J49" s="60">
        <f t="shared" si="7"/>
        <v>691.3439850031242</v>
      </c>
      <c r="K49" s="60">
        <f t="shared" si="8"/>
        <v>3874.5229461422377</v>
      </c>
      <c r="L49" s="61">
        <f t="shared" si="9"/>
        <v>0</v>
      </c>
      <c r="M49" s="60">
        <f t="shared" si="10"/>
        <v>29036.447370131216</v>
      </c>
      <c r="N49" s="61">
        <f>M49*J34-(M49/Supuestos!$B$18)*I34</f>
        <v>28191.45650536106</v>
      </c>
      <c r="O49" s="62">
        <v>0.9</v>
      </c>
      <c r="P49" s="61">
        <f t="shared" si="11"/>
        <v>5167387.0357298246</v>
      </c>
      <c r="Q49" s="61">
        <f t="shared" si="12"/>
        <v>1074883.7597675011</v>
      </c>
    </row>
    <row r="50" spans="1:17" x14ac:dyDescent="0.3">
      <c r="A50" s="59" t="str">
        <f t="shared" si="0"/>
        <v>Jun</v>
      </c>
      <c r="B50" s="60">
        <f t="shared" si="1"/>
        <v>374644.12699999998</v>
      </c>
      <c r="C50" s="60">
        <f>(B35+C35+D35)/(E35*24*Supuestos!$B$16)</f>
        <v>4584.0935672514624</v>
      </c>
      <c r="D50" s="60">
        <f t="shared" si="2"/>
        <v>374644.12699999998</v>
      </c>
      <c r="E50" s="61">
        <f t="shared" si="3"/>
        <v>663963.05407575006</v>
      </c>
      <c r="F50" s="60">
        <f>((B35+C35+D35)-D50)/(E35*24*Supuestos!$B$16)</f>
        <v>3671.2180141325543</v>
      </c>
      <c r="G50" s="60">
        <f t="shared" si="4"/>
        <v>3402</v>
      </c>
      <c r="H50" s="60">
        <f t="shared" si="5"/>
        <v>3402</v>
      </c>
      <c r="I50" s="61">
        <f t="shared" si="6"/>
        <v>0</v>
      </c>
      <c r="J50" s="60">
        <f t="shared" si="7"/>
        <v>691.3439850031242</v>
      </c>
      <c r="K50" s="60">
        <f t="shared" si="8"/>
        <v>2710.6560149968759</v>
      </c>
      <c r="L50" s="61">
        <f t="shared" si="9"/>
        <v>277968.67605020612</v>
      </c>
      <c r="M50" s="60">
        <f t="shared" si="10"/>
        <v>29036.447370131216</v>
      </c>
      <c r="N50" s="61">
        <f>M50*J35-(M50/Supuestos!$B$18)*I35</f>
        <v>28191.45650536106</v>
      </c>
      <c r="O50" s="62">
        <v>1</v>
      </c>
      <c r="P50" s="61">
        <f t="shared" si="11"/>
        <v>4302834.6811499996</v>
      </c>
      <c r="Q50" s="61">
        <f t="shared" si="12"/>
        <v>970123.18663131725</v>
      </c>
    </row>
    <row r="51" spans="1:17" x14ac:dyDescent="0.3">
      <c r="A51" s="59" t="str">
        <f t="shared" si="0"/>
        <v>Jul</v>
      </c>
      <c r="B51" s="60">
        <f t="shared" si="1"/>
        <v>350612.26199999999</v>
      </c>
      <c r="C51" s="60">
        <f>(B36+C36+D36)/(E36*24*Supuestos!$B$16)</f>
        <v>4251.4030371627996</v>
      </c>
      <c r="D51" s="60">
        <f t="shared" si="2"/>
        <v>350612.26199999999</v>
      </c>
      <c r="E51" s="61">
        <f t="shared" si="3"/>
        <v>621372.58132950007</v>
      </c>
      <c r="F51" s="60">
        <f>((B36+C36+D36)-D51)/(E36*24*Supuestos!$B$16)</f>
        <v>3424.6433172986226</v>
      </c>
      <c r="G51" s="60">
        <f t="shared" si="4"/>
        <v>3369</v>
      </c>
      <c r="H51" s="60">
        <f t="shared" si="5"/>
        <v>3369</v>
      </c>
      <c r="I51" s="61">
        <f t="shared" si="6"/>
        <v>0</v>
      </c>
      <c r="J51" s="60">
        <f t="shared" si="7"/>
        <v>691.3439850031242</v>
      </c>
      <c r="K51" s="60">
        <f t="shared" si="8"/>
        <v>2677.6560149968759</v>
      </c>
      <c r="L51" s="61">
        <f t="shared" si="9"/>
        <v>277968.67605020612</v>
      </c>
      <c r="M51" s="60">
        <f t="shared" si="10"/>
        <v>31801.823310143714</v>
      </c>
      <c r="N51" s="61">
        <f>M51*J36-(M51/Supuestos!$B$18)*I36</f>
        <v>30876.357124919254</v>
      </c>
      <c r="O51" s="62">
        <v>1</v>
      </c>
      <c r="P51" s="61">
        <f t="shared" si="11"/>
        <v>4219483.1583249997</v>
      </c>
      <c r="Q51" s="61">
        <f t="shared" si="12"/>
        <v>930217.61450462544</v>
      </c>
    </row>
    <row r="52" spans="1:17" x14ac:dyDescent="0.3">
      <c r="A52" s="59" t="str">
        <f t="shared" si="0"/>
        <v>Ago</v>
      </c>
      <c r="B52" s="60">
        <f t="shared" si="1"/>
        <v>333157.53899999999</v>
      </c>
      <c r="C52" s="60">
        <f>(B37+C37+D37)/(E37*24*Supuestos!$B$16)</f>
        <v>4582.0340501792116</v>
      </c>
      <c r="D52" s="60">
        <f t="shared" si="2"/>
        <v>333157.53899999999</v>
      </c>
      <c r="E52" s="61">
        <f t="shared" si="3"/>
        <v>590438.44849275006</v>
      </c>
      <c r="F52" s="60">
        <f>((B37+C37+D37)-D52)/(E37*24*Supuestos!$B$16)</f>
        <v>3796.4333639879274</v>
      </c>
      <c r="G52" s="60">
        <f t="shared" si="4"/>
        <v>3760</v>
      </c>
      <c r="H52" s="60">
        <f t="shared" si="5"/>
        <v>3760</v>
      </c>
      <c r="I52" s="61">
        <f t="shared" si="6"/>
        <v>0</v>
      </c>
      <c r="J52" s="60">
        <f t="shared" si="7"/>
        <v>691.3439850031242</v>
      </c>
      <c r="K52" s="60">
        <f t="shared" si="8"/>
        <v>3068.6560149968759</v>
      </c>
      <c r="L52" s="61">
        <f t="shared" si="9"/>
        <v>277968.67605020612</v>
      </c>
      <c r="M52" s="60">
        <f t="shared" si="10"/>
        <v>29036.447370131216</v>
      </c>
      <c r="N52" s="61">
        <f>M52*J37-(M52/Supuestos!$B$18)*I37</f>
        <v>28191.45650536106</v>
      </c>
      <c r="O52" s="62">
        <v>1</v>
      </c>
      <c r="P52" s="61">
        <f t="shared" si="11"/>
        <v>4526606.2606250001</v>
      </c>
      <c r="Q52" s="61">
        <f t="shared" si="12"/>
        <v>896598.58104831725</v>
      </c>
    </row>
    <row r="53" spans="1:17" x14ac:dyDescent="0.3">
      <c r="A53" s="59" t="str">
        <f t="shared" si="0"/>
        <v>Sep</v>
      </c>
      <c r="B53" s="60">
        <f t="shared" si="1"/>
        <v>320509.18900000001</v>
      </c>
      <c r="C53" s="60">
        <f>(B38+C38+D38)/(E38*24*Supuestos!$B$16)</f>
        <v>4147.716861598441</v>
      </c>
      <c r="D53" s="60">
        <f t="shared" si="2"/>
        <v>320509.18900000001</v>
      </c>
      <c r="E53" s="61">
        <f t="shared" si="3"/>
        <v>568022.41020525002</v>
      </c>
      <c r="F53" s="60">
        <f>((B38+C38+D38)-D53)/(E38*24*Supuestos!$B$16)</f>
        <v>3366.7490521442496</v>
      </c>
      <c r="G53" s="60">
        <f t="shared" si="4"/>
        <v>3451</v>
      </c>
      <c r="H53" s="60">
        <f t="shared" si="5"/>
        <v>3366.7490521442496</v>
      </c>
      <c r="I53" s="61">
        <f t="shared" si="6"/>
        <v>33874.778604361556</v>
      </c>
      <c r="J53" s="60">
        <f t="shared" si="7"/>
        <v>691.3439850031242</v>
      </c>
      <c r="K53" s="60">
        <f t="shared" si="8"/>
        <v>2759.6560149968759</v>
      </c>
      <c r="L53" s="61">
        <f t="shared" si="9"/>
        <v>244093.89744584454</v>
      </c>
      <c r="M53" s="60">
        <f t="shared" si="10"/>
        <v>29036.447370131216</v>
      </c>
      <c r="N53" s="61">
        <f>M53*J38-(M53/Supuestos!$B$18)*I38</f>
        <v>28191.45650536106</v>
      </c>
      <c r="O53" s="62">
        <v>1</v>
      </c>
      <c r="P53" s="61">
        <f t="shared" si="11"/>
        <v>4047619.3687749999</v>
      </c>
      <c r="Q53" s="61">
        <f t="shared" si="12"/>
        <v>874182.54276081722</v>
      </c>
    </row>
    <row r="54" spans="1:17" x14ac:dyDescent="0.3">
      <c r="A54" s="59" t="str">
        <f t="shared" si="0"/>
        <v>Oct</v>
      </c>
      <c r="B54" s="60">
        <f t="shared" si="1"/>
        <v>371355.55600000004</v>
      </c>
      <c r="C54" s="60">
        <f>(B39+C39+D39)/(E39*24*Supuestos!$B$16)</f>
        <v>4541.374269005848</v>
      </c>
      <c r="D54" s="60">
        <f t="shared" si="2"/>
        <v>371355.55600000004</v>
      </c>
      <c r="E54" s="61">
        <f t="shared" si="3"/>
        <v>658134.88412100007</v>
      </c>
      <c r="F54" s="60">
        <f>((B39+C39+D39)-D54)/(E39*24*Supuestos!$B$16)</f>
        <v>3665.7009149217129</v>
      </c>
      <c r="G54" s="60">
        <f t="shared" si="4"/>
        <v>3682</v>
      </c>
      <c r="H54" s="60">
        <f t="shared" si="5"/>
        <v>3665.7009149217129</v>
      </c>
      <c r="I54" s="61">
        <f t="shared" si="6"/>
        <v>6553.3731374269082</v>
      </c>
      <c r="J54" s="60">
        <f t="shared" si="7"/>
        <v>691.3439850031242</v>
      </c>
      <c r="K54" s="60">
        <f t="shared" si="8"/>
        <v>2990.6560149968759</v>
      </c>
      <c r="L54" s="61">
        <f t="shared" si="9"/>
        <v>271415.30291277921</v>
      </c>
      <c r="M54" s="60">
        <f t="shared" si="10"/>
        <v>31801.823310143714</v>
      </c>
      <c r="N54" s="61">
        <f>M54*J39-(M54/Supuestos!$B$18)*I39</f>
        <v>30876.357124919254</v>
      </c>
      <c r="O54" s="62">
        <v>1</v>
      </c>
      <c r="P54" s="61">
        <f t="shared" si="11"/>
        <v>4519427.9788499996</v>
      </c>
      <c r="Q54" s="61">
        <f t="shared" si="12"/>
        <v>966979.91729612544</v>
      </c>
    </row>
    <row r="55" spans="1:17" x14ac:dyDescent="0.3">
      <c r="A55" s="59" t="str">
        <f t="shared" si="0"/>
        <v>Nov</v>
      </c>
      <c r="B55" s="60">
        <f t="shared" si="1"/>
        <v>384256.87300000002</v>
      </c>
      <c r="C55" s="60">
        <f>(B40+C40+D40)/(E40*24*Supuestos!$B$16)</f>
        <v>4725.7992202729047</v>
      </c>
      <c r="D55" s="60">
        <f t="shared" si="2"/>
        <v>384256.87300000002</v>
      </c>
      <c r="E55" s="61">
        <f t="shared" si="3"/>
        <v>680999.24317425012</v>
      </c>
      <c r="F55" s="60">
        <f>((B40+C40+D40)-D55)/(E40*24*Supuestos!$B$16)</f>
        <v>3789.5007967836254</v>
      </c>
      <c r="G55" s="60">
        <f t="shared" si="4"/>
        <v>3754</v>
      </c>
      <c r="H55" s="60">
        <f t="shared" si="5"/>
        <v>3754</v>
      </c>
      <c r="I55" s="61">
        <f t="shared" si="6"/>
        <v>0</v>
      </c>
      <c r="J55" s="60">
        <f t="shared" si="7"/>
        <v>345.6719925015621</v>
      </c>
      <c r="K55" s="60">
        <f t="shared" si="8"/>
        <v>3408.3280074984377</v>
      </c>
      <c r="L55" s="61">
        <f t="shared" si="9"/>
        <v>138984.33802510315</v>
      </c>
      <c r="M55" s="60">
        <f t="shared" si="10"/>
        <v>26271.071430118718</v>
      </c>
      <c r="N55" s="61">
        <f>M55*J40-(M55/Supuestos!$B$18)*I40</f>
        <v>25506.555885802856</v>
      </c>
      <c r="O55" s="62">
        <v>1</v>
      </c>
      <c r="P55" s="61">
        <f t="shared" si="11"/>
        <v>4529699.1016000006</v>
      </c>
      <c r="Q55" s="61">
        <f t="shared" si="12"/>
        <v>845490.13708515617</v>
      </c>
    </row>
    <row r="56" spans="1:17" x14ac:dyDescent="0.3">
      <c r="A56" s="59" t="str">
        <f t="shared" si="0"/>
        <v>Dic</v>
      </c>
      <c r="B56" s="60">
        <f t="shared" si="1"/>
        <v>350106.32800000004</v>
      </c>
      <c r="C56" s="60">
        <f>(B41+C41+D41)/(E41*24*Supuestos!$B$16)</f>
        <v>4804.2374080362197</v>
      </c>
      <c r="D56" s="60">
        <f t="shared" si="2"/>
        <v>350106.32800000004</v>
      </c>
      <c r="E56" s="61">
        <f t="shared" si="3"/>
        <v>558428.34581820015</v>
      </c>
      <c r="F56" s="60">
        <f>((B41+C41+D41)-D56)/(E41*24*Supuestos!$B$16)</f>
        <v>3978.6707036408225</v>
      </c>
      <c r="G56" s="60">
        <f t="shared" si="4"/>
        <v>4804.2374080362197</v>
      </c>
      <c r="H56" s="60">
        <f t="shared" si="5"/>
        <v>3978.6707036408225</v>
      </c>
      <c r="I56" s="61">
        <f t="shared" si="6"/>
        <v>331935.60483625735</v>
      </c>
      <c r="J56" s="60">
        <f t="shared" si="7"/>
        <v>345.6719925015621</v>
      </c>
      <c r="K56" s="60">
        <f t="shared" si="8"/>
        <v>3978.6707036408225</v>
      </c>
      <c r="L56" s="61">
        <f t="shared" si="9"/>
        <v>0</v>
      </c>
      <c r="M56" s="60">
        <f t="shared" si="10"/>
        <v>30419.135340137465</v>
      </c>
      <c r="N56" s="61">
        <f>M56*J41-(M56/Supuestos!$B$18)*I41</f>
        <v>29533.906815140159</v>
      </c>
      <c r="O56" s="62">
        <v>0.9</v>
      </c>
      <c r="P56" s="61">
        <f t="shared" si="11"/>
        <v>5145391.5013241228</v>
      </c>
      <c r="Q56" s="61">
        <f t="shared" si="12"/>
        <v>919897.85746959771</v>
      </c>
    </row>
    <row r="57" spans="1:17" x14ac:dyDescent="0.3">
      <c r="A57" s="63" t="s">
        <v>182</v>
      </c>
    </row>
    <row r="58" spans="1:17" ht="18" customHeight="1" x14ac:dyDescent="0.3">
      <c r="A58" s="3" t="s">
        <v>183</v>
      </c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7" ht="25.5" customHeight="1" x14ac:dyDescent="0.3">
      <c r="A59" s="64" t="s">
        <v>135</v>
      </c>
      <c r="B59" s="64" t="s">
        <v>184</v>
      </c>
      <c r="C59" s="64" t="s">
        <v>185</v>
      </c>
      <c r="D59" s="64" t="s">
        <v>186</v>
      </c>
      <c r="E59" s="64" t="s">
        <v>187</v>
      </c>
      <c r="F59" s="64" t="s">
        <v>188</v>
      </c>
      <c r="G59" s="64" t="s">
        <v>189</v>
      </c>
      <c r="H59" s="64" t="s">
        <v>190</v>
      </c>
      <c r="I59" s="64" t="s">
        <v>191</v>
      </c>
      <c r="J59" s="64" t="s">
        <v>192</v>
      </c>
      <c r="K59" s="64" t="s">
        <v>17</v>
      </c>
    </row>
    <row r="60" spans="1:17" x14ac:dyDescent="0.3">
      <c r="A60" s="12" t="str">
        <f t="shared" ref="A60:A71" si="13">A30</f>
        <v>Ene</v>
      </c>
      <c r="B60" s="65">
        <f t="shared" ref="B60:B71" si="14">B30+C30+D30</f>
        <v>1659195</v>
      </c>
      <c r="C60" s="65">
        <f t="shared" ref="C60:C71" si="15">B45</f>
        <v>372114.45699999999</v>
      </c>
      <c r="D60" s="65">
        <f t="shared" ref="D60:D71" si="16">M45</f>
        <v>30419.135340137465</v>
      </c>
      <c r="E60" s="66">
        <f t="shared" ref="E60:E71" si="17">(P45+R30)*$L$6</f>
        <v>4123951.3864316926</v>
      </c>
      <c r="F60" s="66">
        <f t="shared" ref="F60:F71" si="18">(E45+I45)*(1-IF(R30&lt;0,-R30/P45,0))</f>
        <v>720364.9135007764</v>
      </c>
      <c r="G60" s="66">
        <f t="shared" ref="G60:G71" si="19">(L45+N45)*(1-IF(R30&lt;0,-R30/P45,0))</f>
        <v>39329.689634353119</v>
      </c>
      <c r="H60" s="66">
        <f t="shared" ref="H60:H71" si="20">IF($J$6="Sí",MAX(0,R30),0)</f>
        <v>0</v>
      </c>
      <c r="I60" s="66">
        <f t="shared" ref="I60:I71" si="21">E60-F60-G60-H60</f>
        <v>3364256.7832965632</v>
      </c>
      <c r="J60" s="66">
        <f t="shared" ref="J60:J71" si="22">F60+G60+H60</f>
        <v>759694.60313512955</v>
      </c>
      <c r="K60" s="67">
        <f t="shared" ref="K60:K72" si="23">J60/E60</f>
        <v>0.18421521786959424</v>
      </c>
    </row>
    <row r="61" spans="1:17" x14ac:dyDescent="0.3">
      <c r="A61" s="12" t="str">
        <f t="shared" si="13"/>
        <v>Feb</v>
      </c>
      <c r="B61" s="65">
        <f t="shared" si="14"/>
        <v>1435215</v>
      </c>
      <c r="C61" s="65">
        <f t="shared" si="15"/>
        <v>360477.97500000003</v>
      </c>
      <c r="D61" s="65">
        <f t="shared" si="16"/>
        <v>26271.071430118718</v>
      </c>
      <c r="E61" s="66">
        <f t="shared" si="17"/>
        <v>3777056.5231930376</v>
      </c>
      <c r="F61" s="66">
        <f t="shared" si="18"/>
        <v>836393.73450506129</v>
      </c>
      <c r="G61" s="66">
        <f t="shared" si="19"/>
        <v>25506.555885802856</v>
      </c>
      <c r="H61" s="66">
        <f t="shared" si="20"/>
        <v>0</v>
      </c>
      <c r="I61" s="66">
        <f t="shared" si="21"/>
        <v>2915156.2328021731</v>
      </c>
      <c r="J61" s="66">
        <f t="shared" si="22"/>
        <v>861900.29039086413</v>
      </c>
      <c r="K61" s="67">
        <f t="shared" si="23"/>
        <v>0.22819364367421044</v>
      </c>
    </row>
    <row r="62" spans="1:17" x14ac:dyDescent="0.3">
      <c r="A62" s="12" t="str">
        <f t="shared" si="13"/>
        <v>Mar</v>
      </c>
      <c r="B62" s="65">
        <f t="shared" si="14"/>
        <v>1918783</v>
      </c>
      <c r="C62" s="65">
        <f t="shared" si="15"/>
        <v>456605.435</v>
      </c>
      <c r="D62" s="65">
        <f t="shared" si="16"/>
        <v>27653.759400124967</v>
      </c>
      <c r="E62" s="66">
        <f t="shared" si="17"/>
        <v>4678324.4402382355</v>
      </c>
      <c r="F62" s="66">
        <f t="shared" si="18"/>
        <v>921051.69716827723</v>
      </c>
      <c r="G62" s="66">
        <f t="shared" si="19"/>
        <v>26793.881605981656</v>
      </c>
      <c r="H62" s="66">
        <f t="shared" si="20"/>
        <v>0</v>
      </c>
      <c r="I62" s="66">
        <f t="shared" si="21"/>
        <v>3730478.8614639766</v>
      </c>
      <c r="J62" s="66">
        <f t="shared" si="22"/>
        <v>947845.57877425884</v>
      </c>
      <c r="K62" s="67">
        <f t="shared" si="23"/>
        <v>0.20260364386485163</v>
      </c>
    </row>
    <row r="63" spans="1:17" x14ac:dyDescent="0.3">
      <c r="A63" s="12" t="str">
        <f t="shared" si="13"/>
        <v>Abr</v>
      </c>
      <c r="B63" s="65">
        <f t="shared" si="14"/>
        <v>1871667</v>
      </c>
      <c r="C63" s="65">
        <f t="shared" si="15"/>
        <v>426249.39500000002</v>
      </c>
      <c r="D63" s="65">
        <f t="shared" si="16"/>
        <v>30419.135340137465</v>
      </c>
      <c r="E63" s="66">
        <f t="shared" si="17"/>
        <v>4950056.3992739618</v>
      </c>
      <c r="F63" s="66">
        <f t="shared" si="18"/>
        <v>1096232.1146720701</v>
      </c>
      <c r="G63" s="66">
        <f t="shared" si="19"/>
        <v>29500.429245810599</v>
      </c>
      <c r="H63" s="66">
        <f t="shared" si="20"/>
        <v>0</v>
      </c>
      <c r="I63" s="66">
        <f t="shared" si="21"/>
        <v>3824323.8553560809</v>
      </c>
      <c r="J63" s="66">
        <f t="shared" si="22"/>
        <v>1125732.5439178806</v>
      </c>
      <c r="K63" s="67">
        <f t="shared" si="23"/>
        <v>0.22741812478803169</v>
      </c>
    </row>
    <row r="64" spans="1:17" x14ac:dyDescent="0.3">
      <c r="A64" s="12" t="str">
        <f t="shared" si="13"/>
        <v>May</v>
      </c>
      <c r="B64" s="65">
        <f t="shared" si="14"/>
        <v>2054685</v>
      </c>
      <c r="C64" s="65">
        <f t="shared" si="15"/>
        <v>411577.30900000001</v>
      </c>
      <c r="D64" s="65">
        <f t="shared" si="16"/>
        <v>29036.447370131216</v>
      </c>
      <c r="E64" s="66">
        <f t="shared" si="17"/>
        <v>5336855.4578084657</v>
      </c>
      <c r="F64" s="66">
        <f t="shared" si="18"/>
        <v>1046692.30326214</v>
      </c>
      <c r="G64" s="66">
        <f t="shared" si="19"/>
        <v>28191.45650536106</v>
      </c>
      <c r="H64" s="66">
        <f t="shared" si="20"/>
        <v>0</v>
      </c>
      <c r="I64" s="66">
        <f t="shared" si="21"/>
        <v>4261971.698040965</v>
      </c>
      <c r="J64" s="66">
        <f t="shared" si="22"/>
        <v>1074883.7597675011</v>
      </c>
      <c r="K64" s="67">
        <f t="shared" si="23"/>
        <v>0.20140769564872066</v>
      </c>
    </row>
    <row r="65" spans="1:12" x14ac:dyDescent="0.3">
      <c r="A65" s="12" t="str">
        <f t="shared" si="13"/>
        <v>Jun</v>
      </c>
      <c r="B65" s="65">
        <f t="shared" si="14"/>
        <v>1881312</v>
      </c>
      <c r="C65" s="65">
        <f t="shared" si="15"/>
        <v>374644.12699999998</v>
      </c>
      <c r="D65" s="65">
        <f t="shared" si="16"/>
        <v>29036.447370131216</v>
      </c>
      <c r="E65" s="66">
        <f t="shared" si="17"/>
        <v>4443949.4455053182</v>
      </c>
      <c r="F65" s="66">
        <f t="shared" si="18"/>
        <v>663963.05407575006</v>
      </c>
      <c r="G65" s="66">
        <f t="shared" si="19"/>
        <v>306160.13255556719</v>
      </c>
      <c r="H65" s="66">
        <f t="shared" si="20"/>
        <v>0</v>
      </c>
      <c r="I65" s="66">
        <f t="shared" si="21"/>
        <v>3473826.258874001</v>
      </c>
      <c r="J65" s="66">
        <f t="shared" si="22"/>
        <v>970123.18663131725</v>
      </c>
      <c r="K65" s="67">
        <f t="shared" si="23"/>
        <v>0.21830203032856627</v>
      </c>
    </row>
    <row r="66" spans="1:12" x14ac:dyDescent="0.3">
      <c r="A66" s="12" t="str">
        <f t="shared" si="13"/>
        <v>Jul</v>
      </c>
      <c r="B66" s="65">
        <f t="shared" si="14"/>
        <v>1802935</v>
      </c>
      <c r="C66" s="65">
        <f t="shared" si="15"/>
        <v>350612.26199999999</v>
      </c>
      <c r="D66" s="65">
        <f t="shared" si="16"/>
        <v>31801.823310143714</v>
      </c>
      <c r="E66" s="66">
        <f t="shared" si="17"/>
        <v>4353080.3012878858</v>
      </c>
      <c r="F66" s="66">
        <f t="shared" si="18"/>
        <v>620690.44125045394</v>
      </c>
      <c r="G66" s="66">
        <f t="shared" si="19"/>
        <v>308505.98445995303</v>
      </c>
      <c r="H66" s="66">
        <f t="shared" si="20"/>
        <v>0</v>
      </c>
      <c r="I66" s="66">
        <f t="shared" si="21"/>
        <v>3423883.8755774791</v>
      </c>
      <c r="J66" s="66">
        <f t="shared" si="22"/>
        <v>929196.42571040697</v>
      </c>
      <c r="K66" s="67">
        <f t="shared" si="23"/>
        <v>0.21345722141525816</v>
      </c>
    </row>
    <row r="67" spans="1:12" x14ac:dyDescent="0.3">
      <c r="A67" s="12" t="str">
        <f t="shared" si="13"/>
        <v>Ago</v>
      </c>
      <c r="B67" s="65">
        <f t="shared" si="14"/>
        <v>1943149</v>
      </c>
      <c r="C67" s="65">
        <f t="shared" si="15"/>
        <v>333157.53899999999</v>
      </c>
      <c r="D67" s="65">
        <f t="shared" si="16"/>
        <v>29036.447370131216</v>
      </c>
      <c r="E67" s="66">
        <f t="shared" si="17"/>
        <v>4690295.8262993274</v>
      </c>
      <c r="F67" s="66">
        <f t="shared" si="18"/>
        <v>590438.44849275006</v>
      </c>
      <c r="G67" s="66">
        <f t="shared" si="19"/>
        <v>306160.13255556719</v>
      </c>
      <c r="H67" s="66">
        <f t="shared" si="20"/>
        <v>0</v>
      </c>
      <c r="I67" s="66">
        <f t="shared" si="21"/>
        <v>3793697.2452510102</v>
      </c>
      <c r="J67" s="66">
        <f t="shared" si="22"/>
        <v>896598.58104831725</v>
      </c>
      <c r="K67" s="67">
        <f t="shared" si="23"/>
        <v>0.19116034771643373</v>
      </c>
    </row>
    <row r="68" spans="1:12" x14ac:dyDescent="0.3">
      <c r="A68" s="12" t="str">
        <f t="shared" si="13"/>
        <v>Sep</v>
      </c>
      <c r="B68" s="65">
        <f t="shared" si="14"/>
        <v>1702223</v>
      </c>
      <c r="C68" s="65">
        <f t="shared" si="15"/>
        <v>320509.18900000001</v>
      </c>
      <c r="D68" s="65">
        <f t="shared" si="16"/>
        <v>29036.447370131216</v>
      </c>
      <c r="E68" s="66">
        <f t="shared" si="17"/>
        <v>4171388.691193792</v>
      </c>
      <c r="F68" s="66">
        <f t="shared" si="18"/>
        <v>600604.88413668633</v>
      </c>
      <c r="G68" s="66">
        <f t="shared" si="19"/>
        <v>271700.74308771885</v>
      </c>
      <c r="H68" s="66">
        <f t="shared" si="20"/>
        <v>0</v>
      </c>
      <c r="I68" s="66">
        <f t="shared" si="21"/>
        <v>3299083.0639693872</v>
      </c>
      <c r="J68" s="66">
        <f t="shared" si="22"/>
        <v>872305.62722440518</v>
      </c>
      <c r="K68" s="67">
        <f t="shared" si="23"/>
        <v>0.20911636191226374</v>
      </c>
    </row>
    <row r="69" spans="1:12" x14ac:dyDescent="0.3">
      <c r="A69" s="12" t="str">
        <f t="shared" si="13"/>
        <v>Oct</v>
      </c>
      <c r="B69" s="65">
        <f t="shared" si="14"/>
        <v>1925906</v>
      </c>
      <c r="C69" s="65">
        <f t="shared" si="15"/>
        <v>371355.55600000004</v>
      </c>
      <c r="D69" s="65">
        <f t="shared" si="16"/>
        <v>31801.823310143714</v>
      </c>
      <c r="E69" s="66">
        <f t="shared" si="17"/>
        <v>4674873.5087212939</v>
      </c>
      <c r="F69" s="66">
        <f t="shared" si="18"/>
        <v>664688.25725842698</v>
      </c>
      <c r="G69" s="66">
        <f t="shared" si="19"/>
        <v>302291.66003769846</v>
      </c>
      <c r="H69" s="66">
        <f t="shared" si="20"/>
        <v>0</v>
      </c>
      <c r="I69" s="66">
        <f t="shared" si="21"/>
        <v>3707893.5914251683</v>
      </c>
      <c r="J69" s="66">
        <f t="shared" si="22"/>
        <v>966979.91729612544</v>
      </c>
      <c r="K69" s="67">
        <f t="shared" si="23"/>
        <v>0.20684622065006866</v>
      </c>
    </row>
    <row r="70" spans="1:12" x14ac:dyDescent="0.3">
      <c r="A70" s="12" t="str">
        <f t="shared" si="13"/>
        <v>Nov</v>
      </c>
      <c r="B70" s="65">
        <f t="shared" si="14"/>
        <v>1939468</v>
      </c>
      <c r="C70" s="65">
        <f t="shared" si="15"/>
        <v>384256.87300000002</v>
      </c>
      <c r="D70" s="65">
        <f t="shared" si="16"/>
        <v>26271.071430118718</v>
      </c>
      <c r="E70" s="66">
        <f t="shared" si="17"/>
        <v>4712976.0430091769</v>
      </c>
      <c r="F70" s="66">
        <f t="shared" si="18"/>
        <v>680999.24317425012</v>
      </c>
      <c r="G70" s="66">
        <f t="shared" si="19"/>
        <v>164490.89391090602</v>
      </c>
      <c r="H70" s="66">
        <f t="shared" si="20"/>
        <v>0</v>
      </c>
      <c r="I70" s="66">
        <f t="shared" si="21"/>
        <v>3867485.9059240208</v>
      </c>
      <c r="J70" s="66">
        <f t="shared" si="22"/>
        <v>845490.13708515617</v>
      </c>
      <c r="K70" s="67">
        <f t="shared" si="23"/>
        <v>0.17939623061298676</v>
      </c>
    </row>
    <row r="71" spans="1:12" x14ac:dyDescent="0.3">
      <c r="A71" s="12" t="str">
        <f t="shared" si="13"/>
        <v>Dic</v>
      </c>
      <c r="B71" s="65">
        <f t="shared" si="14"/>
        <v>2037381</v>
      </c>
      <c r="C71" s="65">
        <f t="shared" si="15"/>
        <v>350106.32800000004</v>
      </c>
      <c r="D71" s="65">
        <f t="shared" si="16"/>
        <v>30419.135340137465</v>
      </c>
      <c r="E71" s="66">
        <f t="shared" si="17"/>
        <v>5314153.1770378156</v>
      </c>
      <c r="F71" s="66">
        <f t="shared" si="18"/>
        <v>890363.95065445756</v>
      </c>
      <c r="G71" s="66">
        <f t="shared" si="19"/>
        <v>29533.906815140159</v>
      </c>
      <c r="H71" s="66">
        <f t="shared" si="20"/>
        <v>0</v>
      </c>
      <c r="I71" s="66">
        <f t="shared" si="21"/>
        <v>4394255.3195682177</v>
      </c>
      <c r="J71" s="66">
        <f t="shared" si="22"/>
        <v>919897.85746959771</v>
      </c>
      <c r="K71" s="67">
        <f t="shared" si="23"/>
        <v>0.17310337636566997</v>
      </c>
    </row>
    <row r="72" spans="1:12" x14ac:dyDescent="0.3">
      <c r="A72" s="16" t="s">
        <v>193</v>
      </c>
      <c r="B72" s="28">
        <f t="shared" ref="B72:J72" si="24">SUM(B60:B71)</f>
        <v>22171919</v>
      </c>
      <c r="C72" s="28">
        <f t="shared" si="24"/>
        <v>4511666.4450000003</v>
      </c>
      <c r="D72" s="28">
        <f t="shared" si="24"/>
        <v>351202.74438158708</v>
      </c>
      <c r="E72" s="19">
        <f t="shared" si="24"/>
        <v>55226961.199999996</v>
      </c>
      <c r="F72" s="19">
        <f t="shared" si="24"/>
        <v>9332483.0421510991</v>
      </c>
      <c r="G72" s="19">
        <f t="shared" si="24"/>
        <v>1838165.4662998603</v>
      </c>
      <c r="H72" s="19">
        <f t="shared" si="24"/>
        <v>0</v>
      </c>
      <c r="I72" s="19">
        <f t="shared" si="24"/>
        <v>44056312.691549048</v>
      </c>
      <c r="J72" s="19">
        <f t="shared" si="24"/>
        <v>11170648.508450959</v>
      </c>
      <c r="K72" s="68">
        <f t="shared" si="23"/>
        <v>0.2022680275309256</v>
      </c>
    </row>
    <row r="73" spans="1:12" x14ac:dyDescent="0.3">
      <c r="A73" s="63" t="s">
        <v>194</v>
      </c>
    </row>
    <row r="75" spans="1:12" ht="18" customHeight="1" x14ac:dyDescent="0.3">
      <c r="A75" s="3" t="s">
        <v>195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x14ac:dyDescent="0.3">
      <c r="A76" s="69" t="s">
        <v>196</v>
      </c>
      <c r="B76" s="70" t="s">
        <v>197</v>
      </c>
      <c r="C76" s="71">
        <f>F72</f>
        <v>9332483.0421510991</v>
      </c>
      <c r="D76" s="70" t="s">
        <v>198</v>
      </c>
      <c r="E76" s="71">
        <f>F72+SUMPRODUCT(E45:E56*(1/O45:O56-1))</f>
        <v>9753770.0657263752</v>
      </c>
      <c r="F76" s="70" t="s">
        <v>199</v>
      </c>
      <c r="G76" s="71">
        <f>G72</f>
        <v>1838165.4662998603</v>
      </c>
      <c r="H76" s="70" t="s">
        <v>200</v>
      </c>
      <c r="I76" s="71">
        <f>H72</f>
        <v>0</v>
      </c>
      <c r="J76" s="70" t="s">
        <v>185</v>
      </c>
      <c r="K76" s="72">
        <f>C72</f>
        <v>4511666.4450000003</v>
      </c>
    </row>
    <row r="77" spans="1:12" ht="25.5" customHeight="1" x14ac:dyDescent="0.3">
      <c r="A77" s="52" t="s">
        <v>201</v>
      </c>
      <c r="B77" s="52" t="s">
        <v>202</v>
      </c>
      <c r="C77" s="52" t="s">
        <v>187</v>
      </c>
      <c r="D77" s="52" t="s">
        <v>203</v>
      </c>
      <c r="E77" s="52" t="s">
        <v>204</v>
      </c>
      <c r="F77" s="52" t="s">
        <v>205</v>
      </c>
      <c r="G77" s="52" t="s">
        <v>206</v>
      </c>
      <c r="H77" s="52" t="s">
        <v>207</v>
      </c>
      <c r="I77" s="52" t="s">
        <v>208</v>
      </c>
      <c r="J77" s="52" t="s">
        <v>209</v>
      </c>
      <c r="K77" s="52" t="s">
        <v>210</v>
      </c>
      <c r="L77" s="52" t="s">
        <v>211</v>
      </c>
    </row>
    <row r="78" spans="1:12" x14ac:dyDescent="0.3">
      <c r="A78" s="12">
        <v>0</v>
      </c>
      <c r="B78" s="12" t="s">
        <v>18</v>
      </c>
      <c r="H78" s="66">
        <f>-B26-B25-D25</f>
        <v>-40520361.375</v>
      </c>
      <c r="K78" s="66">
        <v>0</v>
      </c>
      <c r="L78" s="66">
        <f>-B26-B25-D25</f>
        <v>-40520361.375</v>
      </c>
    </row>
    <row r="79" spans="1:12" x14ac:dyDescent="0.3">
      <c r="A79" s="12">
        <v>1</v>
      </c>
      <c r="B79" s="59" t="str">
        <f>IF(A79&lt;=(Supuestos!$B$22-Supuestos!$B$24),"Autoabasto","CFE pleno")</f>
        <v>Autoabasto</v>
      </c>
      <c r="C79" s="61">
        <f>IF(A79&lt;=(Supuestos!$B$22-Supuestos!$B$24),$B$12,$B$10)*(1+Supuestos!$B$8)^A79</f>
        <v>55697480.505800001</v>
      </c>
      <c r="D79" s="61">
        <f>IF(A79&lt;=(Supuestos!$B$22-Supuestos!$B$24),$C$76,$E$76)*(1+Supuestos!$B$8)^A79*(1-Supuestos!$B$11)^A79</f>
        <v>9842969.8645567652</v>
      </c>
      <c r="E79" s="61">
        <f>$G$76*(1+Supuestos!$B$8)^A79*(1-Supuestos!$B$12)^A79*Supuestos!$B$10</f>
        <v>1443074.7763870342</v>
      </c>
      <c r="F79" s="61">
        <f>$I$76*(1+Supuestos!$B$8)^A79</f>
        <v>0</v>
      </c>
      <c r="G79" s="61">
        <f t="shared" ref="G79:G98" si="25">C79-D79-E79-F79</f>
        <v>44411435.864856198</v>
      </c>
      <c r="H79" s="61">
        <f>D79+E79+F79-(Supuestos!$B$19*$B$6+Supuestos!$B$20*$F$6)*(1+Supuestos!$B$8)^(A79-1)</f>
        <v>10237246.9409438</v>
      </c>
      <c r="I79" s="61">
        <f>IF(A79&lt;=Supuestos!$J$28,$K$76*(1-Supuestos!$B$11)^A79*Supuestos!$I$28*(1+Supuestos!$B$9)^(A79-1),0)</f>
        <v>6991336.9748357842</v>
      </c>
      <c r="J79" s="61">
        <f>E79*Supuestos!$K$28</f>
        <v>721537.38819351711</v>
      </c>
      <c r="K79" s="61">
        <f>D79-I79+E79-J79+F79-IF(A79&lt;=Supuestos!$J$28,0,Supuestos!$B$19*$B$6*(1+Supuestos!$B$8)^(A79-1))</f>
        <v>3573170.277914498</v>
      </c>
      <c r="L79" s="61">
        <f>I79+J79-IF(A79&lt;=Supuestos!$J$28,(Supuestos!$B$19*$B$6+Supuestos!$B$20*$F$6),Supuestos!$B$20*$F$6)*(1+Supuestos!$B$8)^(A79-1)</f>
        <v>6664076.663029301</v>
      </c>
    </row>
    <row r="80" spans="1:12" x14ac:dyDescent="0.3">
      <c r="A80" s="12">
        <v>2</v>
      </c>
      <c r="B80" s="59" t="str">
        <f>IF(A80&lt;=(Supuestos!$B$22-Supuestos!$B$24),"Autoabasto","CFE pleno")</f>
        <v>Autoabasto</v>
      </c>
      <c r="C80" s="61">
        <f>IF(A80&lt;=(Supuestos!$B$22-Supuestos!$B$24),$B$12,$B$10)*(1+Supuestos!$B$8)^A80</f>
        <v>59039329.336148009</v>
      </c>
      <c r="D80" s="61">
        <f>IF(A80&lt;=(Supuestos!$B$22-Supuestos!$B$24),$C$76,$E$76)*(1+Supuestos!$B$8)^A80*(1-Supuestos!$B$11)^A80</f>
        <v>10381380.31614802</v>
      </c>
      <c r="E80" s="61">
        <f>$G$76*(1+Supuestos!$B$8)^A80*(1-Supuestos!$B$12)^A80*Supuestos!$B$10</f>
        <v>1510538.5221831282</v>
      </c>
      <c r="F80" s="61">
        <f>$I$76*(1+Supuestos!$B$8)^A80</f>
        <v>0</v>
      </c>
      <c r="G80" s="61">
        <f t="shared" si="25"/>
        <v>47147410.497816861</v>
      </c>
      <c r="H80" s="61">
        <f>D80+E80+F80-(Supuestos!$B$19*$B$6+Supuestos!$B$20*$F$6)*(1+Supuestos!$B$8)^(A80-1)</f>
        <v>10780193.276331147</v>
      </c>
      <c r="I80" s="61">
        <f>IF(A80&lt;=Supuestos!$J$28,$K$76*(1-Supuestos!$B$11)^A80*Supuestos!$I$28*(1+Supuestos!$B$9)^(A80-1),0)</f>
        <v>7304199.3044596883</v>
      </c>
      <c r="J80" s="61">
        <f>E80*Supuestos!$K$28</f>
        <v>755269.26109156408</v>
      </c>
      <c r="K80" s="61">
        <f>D80-I80+E80-J80+F80-IF(A80&lt;=Supuestos!$J$28,0,Supuestos!$B$19*$B$6*(1+Supuestos!$B$8)^(A80-1))</f>
        <v>3832450.2727798969</v>
      </c>
      <c r="L80" s="61">
        <f>I80+J80-IF(A80&lt;=Supuestos!$J$28,(Supuestos!$B$19*$B$6+Supuestos!$B$20*$F$6),Supuestos!$B$20*$F$6)*(1+Supuestos!$B$8)^(A80-1)</f>
        <v>6947743.0035512522</v>
      </c>
    </row>
    <row r="81" spans="1:12" x14ac:dyDescent="0.3">
      <c r="A81" s="12">
        <v>3</v>
      </c>
      <c r="B81" s="59" t="str">
        <f>IF(A81&lt;=(Supuestos!$B$22-Supuestos!$B$24),"Autoabasto","CFE pleno")</f>
        <v>Autoabasto</v>
      </c>
      <c r="C81" s="61">
        <f>IF(A81&lt;=(Supuestos!$B$22-Supuestos!$B$24),$B$12,$B$10)*(1+Supuestos!$B$8)^A81</f>
        <v>62581689.096316896</v>
      </c>
      <c r="D81" s="61">
        <f>IF(A81&lt;=(Supuestos!$B$22-Supuestos!$B$24),$C$76,$E$76)*(1+Supuestos!$B$8)^A81*(1-Supuestos!$B$11)^A81</f>
        <v>10949241.819441319</v>
      </c>
      <c r="E81" s="61">
        <f>$G$76*(1+Supuestos!$B$8)^A81*(1-Supuestos!$B$12)^A81*Supuestos!$B$10</f>
        <v>1581156.1980951899</v>
      </c>
      <c r="F81" s="61">
        <f>$I$76*(1+Supuestos!$B$8)^A81</f>
        <v>0</v>
      </c>
      <c r="G81" s="61">
        <f t="shared" si="25"/>
        <v>50051291.07878039</v>
      </c>
      <c r="H81" s="61">
        <f>D81+E81+F81-(Supuestos!$B$19*$B$6+Supuestos!$B$20*$F$6)*(1+Supuestos!$B$8)^(A81-1)</f>
        <v>11351968.921816507</v>
      </c>
      <c r="I81" s="61">
        <f>IF(A81&lt;=Supuestos!$J$28,$K$76*(1-Supuestos!$B$11)^A81*Supuestos!$I$28*(1+Supuestos!$B$9)^(A81-1),0)</f>
        <v>7631062.2233342575</v>
      </c>
      <c r="J81" s="61">
        <f>E81*Supuestos!$K$28</f>
        <v>790578.09904759494</v>
      </c>
      <c r="K81" s="61">
        <f>D81-I81+E81-J81+F81-IF(A81&lt;=Supuestos!$J$28,0,Supuestos!$B$19*$B$6*(1+Supuestos!$B$8)^(A81-1))</f>
        <v>4108757.6951546567</v>
      </c>
      <c r="L81" s="61">
        <f>I81+J81-IF(A81&lt;=Supuestos!$J$28,(Supuestos!$B$19*$B$6+Supuestos!$B$20*$F$6),Supuestos!$B$20*$F$6)*(1+Supuestos!$B$8)^(A81-1)</f>
        <v>7243211.2266618516</v>
      </c>
    </row>
    <row r="82" spans="1:12" x14ac:dyDescent="0.3">
      <c r="A82" s="12">
        <v>4</v>
      </c>
      <c r="B82" s="59" t="str">
        <f>IF(A82&lt;=(Supuestos!$B$22-Supuestos!$B$24),"Autoabasto","CFE pleno")</f>
        <v>Autoabasto</v>
      </c>
      <c r="C82" s="61">
        <f>IF(A82&lt;=(Supuestos!$B$22-Supuestos!$B$24),$B$12,$B$10)*(1+Supuestos!$B$8)^A82</f>
        <v>66336590.442095906</v>
      </c>
      <c r="D82" s="61">
        <f>IF(A82&lt;=(Supuestos!$B$22-Supuestos!$B$24),$C$76,$E$76)*(1+Supuestos!$B$8)^A82*(1-Supuestos!$B$11)^A82</f>
        <v>11548165.34696476</v>
      </c>
      <c r="E82" s="61">
        <f>$G$76*(1+Supuestos!$B$8)^A82*(1-Supuestos!$B$12)^A82*Supuestos!$B$10</f>
        <v>1655075.2503561396</v>
      </c>
      <c r="F82" s="61">
        <f>$I$76*(1+Supuestos!$B$8)^A82</f>
        <v>0</v>
      </c>
      <c r="G82" s="61">
        <f t="shared" si="25"/>
        <v>53133349.844775006</v>
      </c>
      <c r="H82" s="61">
        <f>D82+E82+F82-(Supuestos!$B$19*$B$6+Supuestos!$B$20*$F$6)*(1+Supuestos!$B$8)^(A82-1)</f>
        <v>11954105.755857699</v>
      </c>
      <c r="I82" s="61">
        <f>IF(A82&lt;=Supuestos!$J$28,$K$76*(1-Supuestos!$B$11)^A82*Supuestos!$I$28*(1+Supuestos!$B$9)^(A82-1),0)</f>
        <v>7972552.2578284675</v>
      </c>
      <c r="J82" s="61">
        <f>E82*Supuestos!$K$28</f>
        <v>827537.62517806981</v>
      </c>
      <c r="K82" s="61">
        <f>D82-I82+E82-J82+F82-IF(A82&lt;=Supuestos!$J$28,0,Supuestos!$B$19*$B$6*(1+Supuestos!$B$8)^(A82-1))</f>
        <v>4403150.714314362</v>
      </c>
      <c r="L82" s="61">
        <f>I82+J82-IF(A82&lt;=Supuestos!$J$28,(Supuestos!$B$19*$B$6+Supuestos!$B$20*$F$6),Supuestos!$B$20*$F$6)*(1+Supuestos!$B$8)^(A82-1)</f>
        <v>7550955.0415433366</v>
      </c>
    </row>
    <row r="83" spans="1:12" x14ac:dyDescent="0.3">
      <c r="A83" s="12">
        <v>5</v>
      </c>
      <c r="B83" s="59" t="str">
        <f>IF(A83&lt;=(Supuestos!$B$22-Supuestos!$B$24),"Autoabasto","CFE pleno")</f>
        <v>Autoabasto</v>
      </c>
      <c r="C83" s="61">
        <f>IF(A83&lt;=(Supuestos!$B$22-Supuestos!$B$24),$B$12,$B$10)*(1+Supuestos!$B$8)^A83</f>
        <v>70316785.868621677</v>
      </c>
      <c r="D83" s="61">
        <f>IF(A83&lt;=(Supuestos!$B$22-Supuestos!$B$24),$C$76,$E$76)*(1+Supuestos!$B$8)^A83*(1-Supuestos!$B$11)^A83</f>
        <v>12179849.991443735</v>
      </c>
      <c r="E83" s="61">
        <f>$G$76*(1+Supuestos!$B$8)^A83*(1-Supuestos!$B$12)^A83*Supuestos!$B$10</f>
        <v>1732450.0183102898</v>
      </c>
      <c r="F83" s="61">
        <f>$I$76*(1+Supuestos!$B$8)^A83</f>
        <v>0</v>
      </c>
      <c r="G83" s="61">
        <f t="shared" si="25"/>
        <v>56404485.858867645</v>
      </c>
      <c r="H83" s="61">
        <f>D83+E83+F83-(Supuestos!$B$19*$B$6+Supuestos!$B$20*$F$6)*(1+Supuestos!$B$8)^(A83-1)</f>
        <v>12588217.077803032</v>
      </c>
      <c r="I83" s="61">
        <f>IF(A83&lt;=Supuestos!$J$28,$K$76*(1-Supuestos!$B$11)^A83*Supuestos!$I$28*(1+Supuestos!$B$9)^(A83-1),0)</f>
        <v>8329323.97136629</v>
      </c>
      <c r="J83" s="61">
        <f>E83*Supuestos!$K$28</f>
        <v>866225.00915514491</v>
      </c>
      <c r="K83" s="61">
        <f>D83-I83+E83-J83+F83-IF(A83&lt;=Supuestos!$J$28,0,Supuestos!$B$19*$B$6*(1+Supuestos!$B$8)^(A83-1))</f>
        <v>4716751.0292325895</v>
      </c>
      <c r="L83" s="61">
        <f>I83+J83-IF(A83&lt;=Supuestos!$J$28,(Supuestos!$B$19*$B$6+Supuestos!$B$20*$F$6),Supuestos!$B$20*$F$6)*(1+Supuestos!$B$8)^(A83-1)</f>
        <v>7871466.048570442</v>
      </c>
    </row>
    <row r="84" spans="1:12" x14ac:dyDescent="0.3">
      <c r="A84" s="12">
        <v>6</v>
      </c>
      <c r="B84" s="59" t="str">
        <f>IF(A84&lt;=(Supuestos!$B$22-Supuestos!$B$24),"Autoabasto","CFE pleno")</f>
        <v>Autoabasto</v>
      </c>
      <c r="C84" s="61">
        <f>IF(A84&lt;=(Supuestos!$B$22-Supuestos!$B$24),$B$12,$B$10)*(1+Supuestos!$B$8)^A84</f>
        <v>74535793.020738974</v>
      </c>
      <c r="D84" s="61">
        <f>IF(A84&lt;=(Supuestos!$B$22-Supuestos!$B$24),$C$76,$E$76)*(1+Supuestos!$B$8)^A84*(1-Supuestos!$B$11)^A84</f>
        <v>12846087.785975708</v>
      </c>
      <c r="E84" s="61">
        <f>$G$76*(1+Supuestos!$B$8)^A84*(1-Supuestos!$B$12)^A84*Supuestos!$B$10</f>
        <v>1813442.056666296</v>
      </c>
      <c r="F84" s="61">
        <f>$I$76*(1+Supuestos!$B$8)^A84</f>
        <v>0</v>
      </c>
      <c r="G84" s="61">
        <f t="shared" si="25"/>
        <v>59876263.178096965</v>
      </c>
      <c r="H84" s="61">
        <f>D84+E84+F84-(Supuestos!$B$19*$B$6+Supuestos!$B$20*$F$6)*(1+Supuestos!$B$8)^(A84-1)</f>
        <v>13256001.934773952</v>
      </c>
      <c r="I84" s="61">
        <f>IF(A84&lt;=Supuestos!$J$28,$K$76*(1-Supuestos!$B$11)^A84*Supuestos!$I$28*(1+Supuestos!$B$9)^(A84-1),0)</f>
        <v>8702061.2190849315</v>
      </c>
      <c r="J84" s="61">
        <f>E84*Supuestos!$K$28</f>
        <v>906721.02833314799</v>
      </c>
      <c r="K84" s="61">
        <f>D84-I84+E84-J84+F84-IF(A84&lt;=Supuestos!$J$28,0,Supuestos!$B$19*$B$6*(1+Supuestos!$B$8)^(A84-1))</f>
        <v>5050747.5952239241</v>
      </c>
      <c r="L84" s="61">
        <f>I84+J84-IF(A84&lt;=Supuestos!$J$28,(Supuestos!$B$19*$B$6+Supuestos!$B$20*$F$6),Supuestos!$B$20*$F$6)*(1+Supuestos!$B$8)^(A84-1)</f>
        <v>8205254.3395500276</v>
      </c>
    </row>
    <row r="85" spans="1:12" x14ac:dyDescent="0.3">
      <c r="A85" s="12">
        <v>7</v>
      </c>
      <c r="B85" s="59" t="str">
        <f>IF(A85&lt;=(Supuestos!$B$22-Supuestos!$B$24),"Autoabasto","CFE pleno")</f>
        <v>CFE pleno</v>
      </c>
      <c r="C85" s="61">
        <f>IF(A85&lt;=(Supuestos!$B$22-Supuestos!$B$24),$B$12,$B$10)*(1+Supuestos!$B$8)^A85</f>
        <v>83040929.972461835</v>
      </c>
      <c r="D85" s="61">
        <f>IF(A85&lt;=(Supuestos!$B$22-Supuestos!$B$24),$C$76,$E$76)*(1+Supuestos!$B$8)^A85*(1-Supuestos!$B$11)^A85</f>
        <v>14160387.416048277</v>
      </c>
      <c r="E85" s="61">
        <f>$G$76*(1+Supuestos!$B$8)^A85*(1-Supuestos!$B$12)^A85*Supuestos!$B$10</f>
        <v>1898220.4728154456</v>
      </c>
      <c r="F85" s="61">
        <f>$I$76*(1+Supuestos!$B$8)^A85</f>
        <v>0</v>
      </c>
      <c r="G85" s="61">
        <f t="shared" si="25"/>
        <v>66982322.083598115</v>
      </c>
      <c r="H85" s="61">
        <f>D85+E85+F85-(Supuestos!$B$19*$B$6+Supuestos!$B$20*$F$6)*(1+Supuestos!$B$8)^(A85-1)</f>
        <v>14570868.306523588</v>
      </c>
      <c r="I85" s="61">
        <f>IF(A85&lt;=Supuestos!$J$28,$K$76*(1-Supuestos!$B$11)^A85*Supuestos!$I$28*(1+Supuestos!$B$9)^(A85-1),0)</f>
        <v>9091478.458638981</v>
      </c>
      <c r="J85" s="61">
        <f>E85*Supuestos!$K$28</f>
        <v>949110.23640772281</v>
      </c>
      <c r="K85" s="61">
        <f>D85-I85+E85-J85+F85-IF(A85&lt;=Supuestos!$J$28,0,Supuestos!$B$19*$B$6*(1+Supuestos!$B$8)^(A85-1))</f>
        <v>6018019.1938170195</v>
      </c>
      <c r="L85" s="61">
        <f>I85+J85-IF(A85&lt;=Supuestos!$J$28,(Supuestos!$B$19*$B$6+Supuestos!$B$20*$F$6),Supuestos!$B$20*$F$6)*(1+Supuestos!$B$8)^(A85-1)</f>
        <v>8552849.1127065681</v>
      </c>
    </row>
    <row r="86" spans="1:12" x14ac:dyDescent="0.3">
      <c r="A86" s="12">
        <v>8</v>
      </c>
      <c r="B86" s="59" t="str">
        <f>IF(A86&lt;=(Supuestos!$B$22-Supuestos!$B$24),"Autoabasto","CFE pleno")</f>
        <v>CFE pleno</v>
      </c>
      <c r="C86" s="61">
        <f>IF(A86&lt;=(Supuestos!$B$22-Supuestos!$B$24),$B$12,$B$10)*(1+Supuestos!$B$8)^A86</f>
        <v>88023385.770809546</v>
      </c>
      <c r="D86" s="61">
        <f>IF(A86&lt;=(Supuestos!$B$22-Supuestos!$B$24),$C$76,$E$76)*(1+Supuestos!$B$8)^A86*(1-Supuestos!$B$11)^A86</f>
        <v>14934960.607706117</v>
      </c>
      <c r="E86" s="61">
        <f>$G$76*(1+Supuestos!$B$8)^A86*(1-Supuestos!$B$12)^A86*Supuestos!$B$10</f>
        <v>1986962.2799195673</v>
      </c>
      <c r="F86" s="61">
        <f>$I$76*(1+Supuestos!$B$8)^A86</f>
        <v>0</v>
      </c>
      <c r="G86" s="61">
        <f t="shared" si="25"/>
        <v>71101462.883183867</v>
      </c>
      <c r="H86" s="61">
        <f>D86+E86+F86-(Supuestos!$B$19*$B$6+Supuestos!$B$20*$F$6)*(1+Supuestos!$B$8)^(A86-1)</f>
        <v>15344918.930345139</v>
      </c>
      <c r="I86" s="61">
        <f>IF(A86&lt;=Supuestos!$J$28,$K$76*(1-Supuestos!$B$11)^A86*Supuestos!$I$28*(1+Supuestos!$B$9)^(A86-1),0)</f>
        <v>9498322.1196630783</v>
      </c>
      <c r="J86" s="61">
        <f>E86*Supuestos!$K$28</f>
        <v>993481.13995978364</v>
      </c>
      <c r="K86" s="61">
        <f>D86-I86+E86-J86+F86-IF(A86&lt;=Supuestos!$J$28,0,Supuestos!$B$19*$B$6*(1+Supuestos!$B$8)^(A86-1))</f>
        <v>6430119.6280028224</v>
      </c>
      <c r="L86" s="61">
        <f>I86+J86-IF(A86&lt;=Supuestos!$J$28,(Supuestos!$B$19*$B$6+Supuestos!$B$20*$F$6),Supuestos!$B$20*$F$6)*(1+Supuestos!$B$8)^(A86-1)</f>
        <v>8914799.302342318</v>
      </c>
    </row>
    <row r="87" spans="1:12" x14ac:dyDescent="0.3">
      <c r="A87" s="12">
        <v>9</v>
      </c>
      <c r="B87" s="59" t="str">
        <f>IF(A87&lt;=(Supuestos!$B$22-Supuestos!$B$24),"Autoabasto","CFE pleno")</f>
        <v>CFE pleno</v>
      </c>
      <c r="C87" s="61">
        <f>IF(A87&lt;=(Supuestos!$B$22-Supuestos!$B$24),$B$12,$B$10)*(1+Supuestos!$B$8)^A87</f>
        <v>93304788.91705811</v>
      </c>
      <c r="D87" s="61">
        <f>IF(A87&lt;=(Supuestos!$B$22-Supuestos!$B$24),$C$76,$E$76)*(1+Supuestos!$B$8)^A87*(1-Supuestos!$B$11)^A87</f>
        <v>15751902.952947641</v>
      </c>
      <c r="E87" s="61">
        <f>$G$76*(1+Supuestos!$B$8)^A87*(1-Supuestos!$B$12)^A87*Supuestos!$B$10</f>
        <v>2079852.7665058072</v>
      </c>
      <c r="F87" s="61">
        <f>$I$76*(1+Supuestos!$B$8)^A87</f>
        <v>0</v>
      </c>
      <c r="G87" s="61">
        <f t="shared" si="25"/>
        <v>75473033.197604656</v>
      </c>
      <c r="H87" s="61">
        <f>D87+E87+F87-(Supuestos!$B$19*$B$6+Supuestos!$B$20*$F$6)*(1+Supuestos!$B$8)^(A87-1)</f>
        <v>16160131.524736071</v>
      </c>
      <c r="I87" s="61">
        <f>IF(A87&lt;=Supuestos!$J$28,$K$76*(1-Supuestos!$B$11)^A87*Supuestos!$I$28*(1+Supuestos!$B$9)^(A87-1),0)</f>
        <v>9923372.0345179979</v>
      </c>
      <c r="J87" s="61">
        <f>E87*Supuestos!$K$28</f>
        <v>1039926.3832529036</v>
      </c>
      <c r="K87" s="61">
        <f>D87-I87+E87-J87+F87-IF(A87&lt;=Supuestos!$J$28,0,Supuestos!$B$19*$B$6*(1+Supuestos!$B$8)^(A87-1))</f>
        <v>6868457.3016825467</v>
      </c>
      <c r="L87" s="61">
        <f>I87+J87-IF(A87&lt;=Supuestos!$J$28,(Supuestos!$B$19*$B$6+Supuestos!$B$20*$F$6),Supuestos!$B$20*$F$6)*(1+Supuestos!$B$8)^(A87-1)</f>
        <v>9291674.2230535261</v>
      </c>
    </row>
    <row r="88" spans="1:12" x14ac:dyDescent="0.3">
      <c r="A88" s="12">
        <v>10</v>
      </c>
      <c r="B88" s="59" t="str">
        <f>IF(A88&lt;=(Supuestos!$B$22-Supuestos!$B$24),"Autoabasto","CFE pleno")</f>
        <v>CFE pleno</v>
      </c>
      <c r="C88" s="61">
        <f>IF(A88&lt;=(Supuestos!$B$22-Supuestos!$B$24),$B$12,$B$10)*(1+Supuestos!$B$8)^A88</f>
        <v>98903076.252081603</v>
      </c>
      <c r="D88" s="61">
        <f>IF(A88&lt;=(Supuestos!$B$22-Supuestos!$B$24),$C$76,$E$76)*(1+Supuestos!$B$8)^A88*(1-Supuestos!$B$11)^A88</f>
        <v>16613532.044473881</v>
      </c>
      <c r="E88" s="61">
        <f>$G$76*(1+Supuestos!$B$8)^A88*(1-Supuestos!$B$12)^A88*Supuestos!$B$10</f>
        <v>2177085.8833399536</v>
      </c>
      <c r="F88" s="61">
        <f>$I$76*(1+Supuestos!$B$8)^A88</f>
        <v>0</v>
      </c>
      <c r="G88" s="61">
        <f t="shared" si="25"/>
        <v>80112458.32426776</v>
      </c>
      <c r="H88" s="61">
        <f>D88+E88+F88-(Supuestos!$B$19*$B$6+Supuestos!$B$20*$F$6)*(1+Supuestos!$B$8)^(A88-1)</f>
        <v>17018696.281413417</v>
      </c>
      <c r="I88" s="61">
        <f>IF(A88&lt;=Supuestos!$J$28,$K$76*(1-Supuestos!$B$11)^A88*Supuestos!$I$28*(1+Supuestos!$B$9)^(A88-1),0)</f>
        <v>10367442.933062682</v>
      </c>
      <c r="J88" s="61">
        <f>E88*Supuestos!$K$28</f>
        <v>1088542.9416699768</v>
      </c>
      <c r="K88" s="61">
        <f>D88-I88+E88-J88+F88-IF(A88&lt;=Supuestos!$J$28,0,Supuestos!$B$19*$B$6*(1+Supuestos!$B$8)^(A88-1))</f>
        <v>7334632.0530811753</v>
      </c>
      <c r="L88" s="61">
        <f>I88+J88-IF(A88&lt;=Supuestos!$J$28,(Supuestos!$B$19*$B$6+Supuestos!$B$20*$F$6),Supuestos!$B$20*$F$6)*(1+Supuestos!$B$8)^(A88-1)</f>
        <v>9684064.2283322401</v>
      </c>
    </row>
    <row r="89" spans="1:12" x14ac:dyDescent="0.3">
      <c r="A89" s="12">
        <v>11</v>
      </c>
      <c r="B89" s="59" t="str">
        <f>IF(A89&lt;=(Supuestos!$B$22-Supuestos!$B$24),"Autoabasto","CFE pleno")</f>
        <v>CFE pleno</v>
      </c>
      <c r="C89" s="61">
        <f>IF(A89&lt;=(Supuestos!$B$22-Supuestos!$B$24),$B$12,$B$10)*(1+Supuestos!$B$8)^A89</f>
        <v>104837260.82720652</v>
      </c>
      <c r="D89" s="61">
        <f>IF(A89&lt;=(Supuestos!$B$22-Supuestos!$B$24),$C$76,$E$76)*(1+Supuestos!$B$8)^A89*(1-Supuestos!$B$11)^A89</f>
        <v>17522292.247306604</v>
      </c>
      <c r="E89" s="61">
        <f>$G$76*(1+Supuestos!$B$8)^A89*(1-Supuestos!$B$12)^A89*Supuestos!$B$10</f>
        <v>2278864.648386097</v>
      </c>
      <c r="F89" s="61">
        <f>$I$76*(1+Supuestos!$B$8)^A89</f>
        <v>0</v>
      </c>
      <c r="G89" s="61">
        <f t="shared" si="25"/>
        <v>85036103.931513831</v>
      </c>
      <c r="H89" s="61">
        <f>D89+E89+F89-(Supuestos!$B$19*$B$6+Supuestos!$B$20*$F$6)*(1+Supuestos!$B$8)^(A89-1)</f>
        <v>17922919.950508259</v>
      </c>
      <c r="I89" s="61">
        <f>IF(A89&lt;=Supuestos!$J$28,$K$76*(1-Supuestos!$B$11)^A89*Supuestos!$I$28*(1+Supuestos!$B$9)^(A89-1),0)</f>
        <v>10831386.004317235</v>
      </c>
      <c r="J89" s="61">
        <f>E89*Supuestos!$K$28</f>
        <v>1139432.3241930485</v>
      </c>
      <c r="K89" s="61">
        <f>D89-I89+E89-J89+F89-IF(A89&lt;=Supuestos!$J$28,0,Supuestos!$B$19*$B$6*(1+Supuestos!$B$8)^(A89-1))</f>
        <v>7830338.567182417</v>
      </c>
      <c r="L89" s="61">
        <f>I89+J89-IF(A89&lt;=Supuestos!$J$28,(Supuestos!$B$19*$B$6+Supuestos!$B$20*$F$6),Supuestos!$B$20*$F$6)*(1+Supuestos!$B$8)^(A89-1)</f>
        <v>10092581.383325841</v>
      </c>
    </row>
    <row r="90" spans="1:12" x14ac:dyDescent="0.3">
      <c r="A90" s="12">
        <v>12</v>
      </c>
      <c r="B90" s="59" t="str">
        <f>IF(A90&lt;=(Supuestos!$B$22-Supuestos!$B$24),"Autoabasto","CFE pleno")</f>
        <v>CFE pleno</v>
      </c>
      <c r="C90" s="61">
        <f>IF(A90&lt;=(Supuestos!$B$22-Supuestos!$B$24),$B$12,$B$10)*(1+Supuestos!$B$8)^A90</f>
        <v>111127496.47683892</v>
      </c>
      <c r="D90" s="61">
        <f>IF(A90&lt;=(Supuestos!$B$22-Supuestos!$B$24),$C$76,$E$76)*(1+Supuestos!$B$8)^A90*(1-Supuestos!$B$11)^A90</f>
        <v>18480761.633234277</v>
      </c>
      <c r="E90" s="61">
        <f>$G$76*(1+Supuestos!$B$8)^A90*(1-Supuestos!$B$12)^A90*Supuestos!$B$10</f>
        <v>2385401.5706981472</v>
      </c>
      <c r="F90" s="61">
        <f>$I$76*(1+Supuestos!$B$8)^A90</f>
        <v>0</v>
      </c>
      <c r="G90" s="61">
        <f t="shared" si="25"/>
        <v>90261333.272906497</v>
      </c>
      <c r="H90" s="61">
        <f>D90+E90+F90-(Supuestos!$B$19*$B$6+Supuestos!$B$20*$F$6)*(1+Supuestos!$B$8)^(A90-1)</f>
        <v>18875232.042036913</v>
      </c>
      <c r="I90" s="61">
        <f>IF(A90&lt;=Supuestos!$J$28,$K$76*(1-Supuestos!$B$11)^A90*Supuestos!$I$28*(1+Supuestos!$B$9)^(A90-1),0)</f>
        <v>11316090.528010434</v>
      </c>
      <c r="J90" s="61">
        <f>E90*Supuestos!$K$28</f>
        <v>1192700.7853490736</v>
      </c>
      <c r="K90" s="61">
        <f>D90-I90+E90-J90+F90-IF(A90&lt;=Supuestos!$J$28,0,Supuestos!$B$19*$B$6*(1+Supuestos!$B$8)^(A90-1))</f>
        <v>8357371.8905729176</v>
      </c>
      <c r="L90" s="61">
        <f>I90+J90-IF(A90&lt;=Supuestos!$J$28,(Supuestos!$B$19*$B$6+Supuestos!$B$20*$F$6),Supuestos!$B$20*$F$6)*(1+Supuestos!$B$8)^(A90-1)</f>
        <v>10517860.151463995</v>
      </c>
    </row>
    <row r="91" spans="1:12" x14ac:dyDescent="0.3">
      <c r="A91" s="12">
        <v>13</v>
      </c>
      <c r="B91" s="59" t="str">
        <f>IF(A91&lt;=(Supuestos!$B$22-Supuestos!$B$24),"Autoabasto","CFE pleno")</f>
        <v>CFE pleno</v>
      </c>
      <c r="C91" s="61">
        <f>IF(A91&lt;=(Supuestos!$B$22-Supuestos!$B$24),$B$12,$B$10)*(1+Supuestos!$B$8)^A91</f>
        <v>117795146.26544927</v>
      </c>
      <c r="D91" s="61">
        <f>IF(A91&lt;=(Supuestos!$B$22-Supuestos!$B$24),$C$76,$E$76)*(1+Supuestos!$B$8)^A91*(1-Supuestos!$B$11)^A91</f>
        <v>19491659.294572193</v>
      </c>
      <c r="E91" s="61">
        <f>$G$76*(1+Supuestos!$B$8)^A91*(1-Supuestos!$B$12)^A91*Supuestos!$B$10</f>
        <v>2496919.0941282865</v>
      </c>
      <c r="F91" s="61">
        <f>$I$76*(1+Supuestos!$B$8)^A91</f>
        <v>0</v>
      </c>
      <c r="G91" s="61">
        <f t="shared" si="25"/>
        <v>95806567.8767488</v>
      </c>
      <c r="H91" s="61">
        <f>D91+E91+F91-(Supuestos!$B$19*$B$6+Supuestos!$B$20*$F$6)*(1+Supuestos!$B$8)^(A91-1)</f>
        <v>19878191.357091237</v>
      </c>
      <c r="I91" s="61">
        <f>IF(A91&lt;=Supuestos!$J$28,$K$76*(1-Supuestos!$B$11)^A91*Supuestos!$I$28*(1+Supuestos!$B$9)^(A91-1),0)</f>
        <v>11822485.579138897</v>
      </c>
      <c r="J91" s="61">
        <f>E91*Supuestos!$K$28</f>
        <v>1248459.5470641432</v>
      </c>
      <c r="K91" s="61">
        <f>D91-I91+E91-J91+F91-IF(A91&lt;=Supuestos!$J$28,0,Supuestos!$B$19*$B$6*(1+Supuestos!$B$8)^(A91-1))</f>
        <v>8917633.26249744</v>
      </c>
      <c r="L91" s="61">
        <f>I91+J91-IF(A91&lt;=Supuestos!$J$28,(Supuestos!$B$19*$B$6+Supuestos!$B$20*$F$6),Supuestos!$B$20*$F$6)*(1+Supuestos!$B$8)^(A91-1)</f>
        <v>10960558.094593801</v>
      </c>
    </row>
    <row r="92" spans="1:12" x14ac:dyDescent="0.3">
      <c r="A92" s="12">
        <v>14</v>
      </c>
      <c r="B92" s="59" t="str">
        <f>IF(A92&lt;=(Supuestos!$B$22-Supuestos!$B$24),"Autoabasto","CFE pleno")</f>
        <v>CFE pleno</v>
      </c>
      <c r="C92" s="61">
        <f>IF(A92&lt;=(Supuestos!$B$22-Supuestos!$B$24),$B$12,$B$10)*(1+Supuestos!$B$8)^A92</f>
        <v>124862855.04137622</v>
      </c>
      <c r="D92" s="61">
        <f>IF(A92&lt;=(Supuestos!$B$22-Supuestos!$B$24),$C$76,$E$76)*(1+Supuestos!$B$8)^A92*(1-Supuestos!$B$11)^A92</f>
        <v>20557853.057985295</v>
      </c>
      <c r="E92" s="61">
        <f>$G$76*(1+Supuestos!$B$8)^A92*(1-Supuestos!$B$12)^A92*Supuestos!$B$10</f>
        <v>2613650.0617787838</v>
      </c>
      <c r="F92" s="61">
        <f>$I$76*(1+Supuestos!$B$8)^A92</f>
        <v>0</v>
      </c>
      <c r="G92" s="61">
        <f t="shared" si="25"/>
        <v>101691351.92161214</v>
      </c>
      <c r="H92" s="61">
        <f>D92+E92+F92-(Supuestos!$B$19*$B$6+Supuestos!$B$20*$F$6)*(1+Supuestos!$B$8)^(A92-1)</f>
        <v>20934492.866258282</v>
      </c>
      <c r="I92" s="61">
        <f>IF(A92&lt;=Supuestos!$J$28,$K$76*(1-Supuestos!$B$11)^A92*Supuestos!$I$28*(1+Supuestos!$B$9)^(A92-1),0)</f>
        <v>12351541.808805369</v>
      </c>
      <c r="J92" s="61">
        <f>E92*Supuestos!$K$28</f>
        <v>1306825.0308893919</v>
      </c>
      <c r="K92" s="61">
        <f>D92-I92+E92-J92+F92-IF(A92&lt;=Supuestos!$J$28,0,Supuestos!$B$19*$B$6*(1+Supuestos!$B$8)^(A92-1))</f>
        <v>9513136.2800693177</v>
      </c>
      <c r="L92" s="61">
        <f>I92+J92-IF(A92&lt;=Supuestos!$J$28,(Supuestos!$B$19*$B$6+Supuestos!$B$20*$F$6),Supuestos!$B$20*$F$6)*(1+Supuestos!$B$8)^(A92-1)</f>
        <v>11421356.586188965</v>
      </c>
    </row>
    <row r="93" spans="1:12" x14ac:dyDescent="0.3">
      <c r="A93" s="12">
        <v>15</v>
      </c>
      <c r="B93" s="59" t="str">
        <f>IF(A93&lt;=(Supuestos!$B$22-Supuestos!$B$24),"Autoabasto","CFE pleno")</f>
        <v>CFE pleno</v>
      </c>
      <c r="C93" s="61">
        <f>IF(A93&lt;=(Supuestos!$B$22-Supuestos!$B$24),$B$12,$B$10)*(1+Supuestos!$B$8)^A93</f>
        <v>132354626.34385882</v>
      </c>
      <c r="D93" s="61">
        <f>IF(A93&lt;=(Supuestos!$B$22-Supuestos!$B$24),$C$76,$E$76)*(1+Supuestos!$B$8)^A93*(1-Supuestos!$B$11)^A93</f>
        <v>21682367.620257095</v>
      </c>
      <c r="E93" s="61">
        <f>$G$76*(1+Supuestos!$B$8)^A93*(1-Supuestos!$B$12)^A93*Supuestos!$B$10</f>
        <v>2735838.2021669424</v>
      </c>
      <c r="F93" s="61">
        <f>$I$76*(1+Supuestos!$B$8)^A93</f>
        <v>0</v>
      </c>
      <c r="G93" s="61">
        <f t="shared" si="25"/>
        <v>107936420.52143478</v>
      </c>
      <c r="H93" s="61">
        <f>D93+E93+F93-(Supuestos!$B$19*$B$6+Supuestos!$B$20*$F$6)*(1+Supuestos!$B$8)^(A93-1)</f>
        <v>22046974.953707892</v>
      </c>
      <c r="I93" s="61">
        <f>IF(A93&lt;=Supuestos!$J$28,$K$76*(1-Supuestos!$B$11)^A93*Supuestos!$I$28*(1+Supuestos!$B$9)^(A93-1),0)</f>
        <v>12904273.304749403</v>
      </c>
      <c r="J93" s="61">
        <f>E93*Supuestos!$K$28</f>
        <v>1367919.1010834712</v>
      </c>
      <c r="K93" s="61">
        <f>D93-I93+E93-J93+F93-IF(A93&lt;=Supuestos!$J$28,0,Supuestos!$B$19*$B$6*(1+Supuestos!$B$8)^(A93-1))</f>
        <v>10146013.416591164</v>
      </c>
      <c r="L93" s="61">
        <f>I93+J93-IF(A93&lt;=Supuestos!$J$28,(Supuestos!$B$19*$B$6+Supuestos!$B$20*$F$6),Supuestos!$B$20*$F$6)*(1+Supuestos!$B$8)^(A93-1)</f>
        <v>11900961.537116729</v>
      </c>
    </row>
    <row r="94" spans="1:12" x14ac:dyDescent="0.3">
      <c r="A94" s="12">
        <v>16</v>
      </c>
      <c r="B94" s="59" t="str">
        <f>IF(A94&lt;=(Supuestos!$B$22-Supuestos!$B$24),"Autoabasto","CFE pleno")</f>
        <v>CFE pleno</v>
      </c>
      <c r="C94" s="61">
        <f>IF(A94&lt;=(Supuestos!$B$22-Supuestos!$B$24),$B$12,$B$10)*(1+Supuestos!$B$8)^A94</f>
        <v>140295903.92449033</v>
      </c>
      <c r="D94" s="61">
        <f>IF(A94&lt;=(Supuestos!$B$22-Supuestos!$B$24),$C$76,$E$76)*(1+Supuestos!$B$8)^A94*(1-Supuestos!$B$11)^A94</f>
        <v>22868393.12908515</v>
      </c>
      <c r="E94" s="61">
        <f>$G$76*(1+Supuestos!$B$8)^A94*(1-Supuestos!$B$12)^A94*Supuestos!$B$10</f>
        <v>2863738.6381182461</v>
      </c>
      <c r="F94" s="61">
        <f>$I$76*(1+Supuestos!$B$8)^A94</f>
        <v>0</v>
      </c>
      <c r="G94" s="61">
        <f t="shared" si="25"/>
        <v>114563772.15728693</v>
      </c>
      <c r="H94" s="61">
        <f>D94+E94+F94-(Supuestos!$B$19*$B$6+Supuestos!$B$20*$F$6)*(1+Supuestos!$B$8)^(A94-1)</f>
        <v>23218627.046364281</v>
      </c>
      <c r="I94" s="61">
        <f>IF(A94&lt;=Supuestos!$J$28,$K$76*(1-Supuestos!$B$11)^A94*Supuestos!$I$28*(1+Supuestos!$B$9)^(A94-1),0)</f>
        <v>0</v>
      </c>
      <c r="J94" s="61">
        <f>E94*Supuestos!$K$28</f>
        <v>1431869.3190591231</v>
      </c>
      <c r="K94" s="61">
        <f>D94-I94+E94-J94+F94-IF(A94&lt;=Supuestos!$J$28,0,Supuestos!$B$19*$B$6*(1+Supuestos!$B$8)^(A94-1))</f>
        <v>22420887.025199339</v>
      </c>
      <c r="L94" s="61">
        <f>I94+J94-IF(A94&lt;=Supuestos!$J$28,(Supuestos!$B$19*$B$6+Supuestos!$B$20*$F$6),Supuestos!$B$20*$F$6)*(1+Supuestos!$B$8)^(A94-1)</f>
        <v>797740.0211649444</v>
      </c>
    </row>
    <row r="95" spans="1:12" x14ac:dyDescent="0.3">
      <c r="A95" s="12">
        <v>17</v>
      </c>
      <c r="B95" s="59" t="str">
        <f>IF(A95&lt;=(Supuestos!$B$22-Supuestos!$B$24),"Autoabasto","CFE pleno")</f>
        <v>CFE pleno</v>
      </c>
      <c r="C95" s="61">
        <f>IF(A95&lt;=(Supuestos!$B$22-Supuestos!$B$24),$B$12,$B$10)*(1+Supuestos!$B$8)^A95</f>
        <v>148713658.15995976</v>
      </c>
      <c r="D95" s="61">
        <f>IF(A95&lt;=(Supuestos!$B$22-Supuestos!$B$24),$C$76,$E$76)*(1+Supuestos!$B$8)^A95*(1-Supuestos!$B$11)^A95</f>
        <v>24119294.23324611</v>
      </c>
      <c r="E95" s="61">
        <f>$G$76*(1+Supuestos!$B$8)^A95*(1-Supuestos!$B$12)^A95*Supuestos!$B$10</f>
        <v>2997618.4194502751</v>
      </c>
      <c r="F95" s="61">
        <f>$I$76*(1+Supuestos!$B$8)^A95</f>
        <v>0</v>
      </c>
      <c r="G95" s="61">
        <f t="shared" si="25"/>
        <v>121596745.50726338</v>
      </c>
      <c r="H95" s="61">
        <f>D95+E95+F95-(Supuestos!$B$19*$B$6+Supuestos!$B$20*$F$6)*(1+Supuestos!$B$8)^(A95-1)</f>
        <v>24452597.648606926</v>
      </c>
      <c r="I95" s="61">
        <f>IF(A95&lt;=Supuestos!$J$28,$K$76*(1-Supuestos!$B$11)^A95*Supuestos!$I$28*(1+Supuestos!$B$9)^(A95-1),0)</f>
        <v>0</v>
      </c>
      <c r="J95" s="61">
        <f>E95*Supuestos!$K$28</f>
        <v>1498809.2097251376</v>
      </c>
      <c r="K95" s="61">
        <f>D95-I95+E95-J95+F95-IF(A95&lt;=Supuestos!$J$28,0,Supuestos!$B$19*$B$6*(1+Supuestos!$B$8)^(A95-1))</f>
        <v>23625965.494649619</v>
      </c>
      <c r="L95" s="61">
        <f>I95+J95-IF(A95&lt;=Supuestos!$J$28,(Supuestos!$B$19*$B$6+Supuestos!$B$20*$F$6),Supuestos!$B$20*$F$6)*(1+Supuestos!$B$8)^(A95-1)</f>
        <v>826632.15395730839</v>
      </c>
    </row>
    <row r="96" spans="1:12" x14ac:dyDescent="0.3">
      <c r="A96" s="12">
        <v>18</v>
      </c>
      <c r="B96" s="59" t="str">
        <f>IF(A96&lt;=(Supuestos!$B$22-Supuestos!$B$24),"Autoabasto","CFE pleno")</f>
        <v>CFE pleno</v>
      </c>
      <c r="C96" s="61">
        <f>IF(A96&lt;=(Supuestos!$B$22-Supuestos!$B$24),$B$12,$B$10)*(1+Supuestos!$B$8)^A96</f>
        <v>157636477.64955735</v>
      </c>
      <c r="D96" s="61">
        <f>IF(A96&lt;=(Supuestos!$B$22-Supuestos!$B$24),$C$76,$E$76)*(1+Supuestos!$B$8)^A96*(1-Supuestos!$B$11)^A96</f>
        <v>25438619.627804674</v>
      </c>
      <c r="E96" s="61">
        <f>$G$76*(1+Supuestos!$B$8)^A96*(1-Supuestos!$B$12)^A96*Supuestos!$B$10</f>
        <v>3137757.080559575</v>
      </c>
      <c r="F96" s="61">
        <f>$I$76*(1+Supuestos!$B$8)^A96</f>
        <v>0</v>
      </c>
      <c r="G96" s="61">
        <f t="shared" si="25"/>
        <v>129060100.9411931</v>
      </c>
      <c r="H96" s="61">
        <f>D96+E96+F96-(Supuestos!$B$19*$B$6+Supuestos!$B$20*$F$6)*(1+Supuestos!$B$8)^(A96-1)</f>
        <v>25752202.80402942</v>
      </c>
      <c r="I96" s="61">
        <f>IF(A96&lt;=Supuestos!$J$28,$K$76*(1-Supuestos!$B$11)^A96*Supuestos!$I$28*(1+Supuestos!$B$9)^(A96-1),0)</f>
        <v>0</v>
      </c>
      <c r="J96" s="61">
        <f>E96*Supuestos!$K$28</f>
        <v>1568878.5402797875</v>
      </c>
      <c r="K96" s="61">
        <f>D96-I96+E96-J96+F96-IF(A96&lt;=Supuestos!$J$28,0,Supuestos!$B$19*$B$6*(1+Supuestos!$B$8)^(A96-1))</f>
        <v>24895831.942863531</v>
      </c>
      <c r="L96" s="61">
        <f>I96+J96-IF(A96&lt;=Supuestos!$J$28,(Supuestos!$B$19*$B$6+Supuestos!$B$20*$F$6),Supuestos!$B$20*$F$6)*(1+Supuestos!$B$8)^(A96-1)</f>
        <v>856370.86116588849</v>
      </c>
    </row>
    <row r="97" spans="1:12" x14ac:dyDescent="0.3">
      <c r="A97" s="12">
        <v>19</v>
      </c>
      <c r="B97" s="59" t="str">
        <f>IF(A97&lt;=(Supuestos!$B$22-Supuestos!$B$24),"Autoabasto","CFE pleno")</f>
        <v>CFE pleno</v>
      </c>
      <c r="C97" s="61">
        <f>IF(A97&lt;=(Supuestos!$B$22-Supuestos!$B$24),$B$12,$B$10)*(1+Supuestos!$B$8)^A97</f>
        <v>167094666.30853081</v>
      </c>
      <c r="D97" s="61">
        <f>IF(A97&lt;=(Supuestos!$B$22-Supuestos!$B$24),$C$76,$E$76)*(1+Supuestos!$B$8)^A97*(1-Supuestos!$B$11)^A97</f>
        <v>26830112.121445592</v>
      </c>
      <c r="E97" s="61">
        <f>$G$76*(1+Supuestos!$B$8)^A97*(1-Supuestos!$B$12)^A97*Supuestos!$B$10</f>
        <v>3284447.224075736</v>
      </c>
      <c r="F97" s="61">
        <f>$I$76*(1+Supuestos!$B$8)^A97</f>
        <v>0</v>
      </c>
      <c r="G97" s="61">
        <f t="shared" si="25"/>
        <v>136980106.96300948</v>
      </c>
      <c r="H97" s="61">
        <f>D97+E97+F97-(Supuestos!$B$19*$B$6+Supuestos!$B$20*$F$6)*(1+Supuestos!$B$8)^(A97-1)</f>
        <v>27120935.00692641</v>
      </c>
      <c r="I97" s="61">
        <f>IF(A97&lt;=Supuestos!$J$28,$K$76*(1-Supuestos!$B$11)^A97*Supuestos!$I$28*(1+Supuestos!$B$9)^(A97-1),0)</f>
        <v>0</v>
      </c>
      <c r="J97" s="61">
        <f>E97*Supuestos!$K$28</f>
        <v>1642223.612037868</v>
      </c>
      <c r="K97" s="61">
        <f>D97-I97+E97-J97+F97-IF(A97&lt;=Supuestos!$J$28,0,Supuestos!$B$19*$B$6*(1+Supuestos!$B$8)^(A97-1))</f>
        <v>26233969.534749277</v>
      </c>
      <c r="L97" s="61">
        <f>I97+J97-IF(A97&lt;=Supuestos!$J$28,(Supuestos!$B$19*$B$6+Supuestos!$B$20*$F$6),Supuestos!$B$20*$F$6)*(1+Supuestos!$B$8)^(A97-1)</f>
        <v>886965.47217713506</v>
      </c>
    </row>
    <row r="98" spans="1:12" x14ac:dyDescent="0.3">
      <c r="A98" s="12">
        <v>20</v>
      </c>
      <c r="B98" s="59" t="str">
        <f>IF(A98&lt;=(Supuestos!$B$22-Supuestos!$B$24),"Autoabasto","CFE pleno")</f>
        <v>CFE pleno</v>
      </c>
      <c r="C98" s="61">
        <f>IF(A98&lt;=(Supuestos!$B$22-Supuestos!$B$24),$B$12,$B$10)*(1+Supuestos!$B$8)^A98</f>
        <v>177120346.28704265</v>
      </c>
      <c r="D98" s="61">
        <f>IF(A98&lt;=(Supuestos!$B$22-Supuestos!$B$24),$C$76,$E$76)*(1+Supuestos!$B$8)^A98*(1-Supuestos!$B$11)^A98</f>
        <v>28297719.254488666</v>
      </c>
      <c r="E98" s="61">
        <f>$G$76*(1+Supuestos!$B$8)^A98*(1-Supuestos!$B$12)^A98*Supuestos!$B$10</f>
        <v>3437995.1318012765</v>
      </c>
      <c r="F98" s="61">
        <f>$I$76*(1+Supuestos!$B$8)^A98</f>
        <v>0</v>
      </c>
      <c r="G98" s="61">
        <f t="shared" si="25"/>
        <v>145384631.90075269</v>
      </c>
      <c r="H98" s="61">
        <f>D98+E98+F98-(Supuestos!$B$19*$B$6+Supuestos!$B$20*$F$6)*(1+Supuestos!$B$8)^(A98-1)</f>
        <v>28562472.587379329</v>
      </c>
      <c r="I98" s="61">
        <f>IF(A98&lt;=Supuestos!$J$28,$K$76*(1-Supuestos!$B$11)^A98*Supuestos!$I$28*(1+Supuestos!$B$9)^(A98-1),0)</f>
        <v>0</v>
      </c>
      <c r="J98" s="61">
        <f>E98*Supuestos!$K$28</f>
        <v>1718997.5659006382</v>
      </c>
      <c r="K98" s="61">
        <f>D98-I98+E98-J98+F98-IF(A98&lt;=Supuestos!$J$28,0,Supuestos!$B$19*$B$6*(1+Supuestos!$B$8)^(A98-1))</f>
        <v>27644048.64973107</v>
      </c>
      <c r="L98" s="61">
        <f>I98+J98-IF(A98&lt;=Supuestos!$J$28,(Supuestos!$B$19*$B$6+Supuestos!$B$20*$F$6),Supuestos!$B$20*$F$6)*(1+Supuestos!$B$8)^(A98-1)</f>
        <v>918423.9376482612</v>
      </c>
    </row>
    <row r="99" spans="1:12" x14ac:dyDescent="0.3">
      <c r="A99" s="69" t="s">
        <v>212</v>
      </c>
      <c r="H99" s="73">
        <f>SUM(H79:H98)</f>
        <v>362026995.21345335</v>
      </c>
      <c r="K99" s="73">
        <f>SUM(K79:K98)</f>
        <v>221921451.82530957</v>
      </c>
      <c r="L99" s="73">
        <f>SUM(L79:L98)</f>
        <v>140105543.38814375</v>
      </c>
    </row>
    <row r="100" spans="1:12" x14ac:dyDescent="0.3">
      <c r="F100" s="69" t="s">
        <v>213</v>
      </c>
      <c r="G100" s="74">
        <f>IRR(H78:H98)</f>
        <v>0.30515621116007785</v>
      </c>
      <c r="I100" s="69" t="s">
        <v>214</v>
      </c>
      <c r="K100" s="75">
        <f>NPV(Supuestos!$B$7,H79:H98)+H78</f>
        <v>70517487.611146227</v>
      </c>
    </row>
    <row r="101" spans="1:12" x14ac:dyDescent="0.3">
      <c r="F101" s="69" t="s">
        <v>215</v>
      </c>
      <c r="G101" s="74">
        <f>IRR(L78:L98)</f>
        <v>0.18294207038367039</v>
      </c>
      <c r="I101" s="69" t="s">
        <v>216</v>
      </c>
      <c r="K101" s="75">
        <f>NPV(Supuestos!$B$7,K79:K98)+K78</f>
        <v>53848827.330080286</v>
      </c>
    </row>
    <row r="102" spans="1:12" x14ac:dyDescent="0.3">
      <c r="A102" s="63" t="s">
        <v>217</v>
      </c>
    </row>
    <row r="104" spans="1:12" ht="18" customHeight="1" x14ac:dyDescent="0.3">
      <c r="A104" s="3" t="s">
        <v>218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x14ac:dyDescent="0.3">
      <c r="A105" s="34" t="s">
        <v>219</v>
      </c>
      <c r="B105" s="34" t="s">
        <v>220</v>
      </c>
      <c r="C105" s="34" t="s">
        <v>221</v>
      </c>
    </row>
    <row r="106" spans="1:12" x14ac:dyDescent="0.3">
      <c r="A106" s="23" t="s">
        <v>222</v>
      </c>
      <c r="B106" s="76">
        <f>B26+B25+D25</f>
        <v>40520361.375</v>
      </c>
      <c r="C106" s="76">
        <v>0</v>
      </c>
      <c r="D106" s="5" t="s">
        <v>223</v>
      </c>
    </row>
    <row r="107" spans="1:12" x14ac:dyDescent="0.3">
      <c r="A107" s="23" t="s">
        <v>224</v>
      </c>
      <c r="B107" s="76">
        <f>H79</f>
        <v>10237246.9409438</v>
      </c>
      <c r="C107" s="76">
        <f>K79</f>
        <v>3573170.277914498</v>
      </c>
    </row>
    <row r="108" spans="1:12" x14ac:dyDescent="0.3">
      <c r="A108" s="23" t="s">
        <v>225</v>
      </c>
      <c r="B108" s="76">
        <f>H99</f>
        <v>362026995.21345335</v>
      </c>
      <c r="C108" s="76">
        <f>SUM(K79:K98)</f>
        <v>221921451.82530957</v>
      </c>
    </row>
    <row r="109" spans="1:12" x14ac:dyDescent="0.3">
      <c r="A109" s="23" t="s">
        <v>226</v>
      </c>
      <c r="B109" s="77">
        <f>G100</f>
        <v>0.30515621116007785</v>
      </c>
      <c r="C109" s="77">
        <f>G101</f>
        <v>0.18294207038367039</v>
      </c>
    </row>
    <row r="110" spans="1:12" x14ac:dyDescent="0.3">
      <c r="A110" s="23" t="s">
        <v>227</v>
      </c>
      <c r="B110" s="78" t="s">
        <v>228</v>
      </c>
      <c r="C110" s="15">
        <f>Supuestos!$I$28</f>
        <v>1.5573999999999999</v>
      </c>
    </row>
    <row r="111" spans="1:12" x14ac:dyDescent="0.3">
      <c r="A111" s="23" t="s">
        <v>229</v>
      </c>
      <c r="C111" s="79">
        <f>Supuestos!$J$28</f>
        <v>15</v>
      </c>
    </row>
    <row r="113" spans="1:12" ht="18" customHeight="1" x14ac:dyDescent="0.3">
      <c r="A113" s="3" t="s">
        <v>230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ht="15" customHeight="1" x14ac:dyDescent="0.3">
      <c r="A114" s="100" t="s">
        <v>231</v>
      </c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</row>
    <row r="115" spans="1:12" x14ac:dyDescent="0.3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</row>
    <row r="116" spans="1:12" x14ac:dyDescent="0.3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</row>
    <row r="117" spans="1:12" x14ac:dyDescent="0.3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</row>
    <row r="118" spans="1:12" x14ac:dyDescent="0.3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</row>
    <row r="119" spans="1:12" x14ac:dyDescent="0.3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</row>
  </sheetData>
  <mergeCells count="1">
    <mergeCell ref="A114:L1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19"/>
  <sheetViews>
    <sheetView showGridLines="0" zoomScaleNormal="100" workbookViewId="0">
      <pane ySplit="3" topLeftCell="A77" activePane="bottomLeft" state="frozen"/>
      <selection pane="bottomLeft" activeCell="C85" sqref="C85"/>
    </sheetView>
  </sheetViews>
  <sheetFormatPr defaultColWidth="8.6640625" defaultRowHeight="14.4" x14ac:dyDescent="0.3"/>
  <cols>
    <col min="1" max="1" width="34" customWidth="1"/>
    <col min="2" max="18" width="12" customWidth="1"/>
  </cols>
  <sheetData>
    <row r="1" spans="1:12" ht="16.8" x14ac:dyDescent="0.3">
      <c r="A1" s="20" t="s">
        <v>232</v>
      </c>
    </row>
    <row r="2" spans="1:12" x14ac:dyDescent="0.3">
      <c r="A2" s="5" t="s">
        <v>233</v>
      </c>
    </row>
    <row r="3" spans="1:12" x14ac:dyDescent="0.3">
      <c r="A3" s="29" t="s">
        <v>234</v>
      </c>
    </row>
    <row r="5" spans="1:12" ht="18" customHeight="1" x14ac:dyDescent="0.3">
      <c r="A5" s="3" t="s">
        <v>102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3">
      <c r="A6" s="10" t="s">
        <v>85</v>
      </c>
      <c r="B6" s="30">
        <f>Supuestos!$B$29</f>
        <v>1020.3049999999999</v>
      </c>
      <c r="C6" s="10" t="s">
        <v>86</v>
      </c>
      <c r="D6" s="30">
        <f>Supuestos!$C$29</f>
        <v>250.5</v>
      </c>
      <c r="E6" s="10" t="s">
        <v>87</v>
      </c>
      <c r="F6" s="30">
        <f>Supuestos!$D$29</f>
        <v>490</v>
      </c>
      <c r="G6" s="23" t="s">
        <v>103</v>
      </c>
      <c r="H6" s="31">
        <f>Supuestos!$D$29*Supuestos!$B$17*SQRT(Supuestos!$B$18)</f>
        <v>460.89599000208273</v>
      </c>
      <c r="I6" s="10" t="s">
        <v>104</v>
      </c>
      <c r="J6" s="32" t="str">
        <f>Supuestos!$E$29</f>
        <v>Sí</v>
      </c>
      <c r="K6" s="5" t="s">
        <v>105</v>
      </c>
      <c r="L6" s="33">
        <f>$B$10/(SUM(P45:P56)+SUM(R30:R41))</f>
        <v>1.0735937756159957</v>
      </c>
    </row>
    <row r="8" spans="1:12" ht="18" customHeight="1" x14ac:dyDescent="0.3">
      <c r="A8" s="3" t="s">
        <v>106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3">
      <c r="A9" s="34" t="s">
        <v>107</v>
      </c>
      <c r="B9" s="34" t="s">
        <v>108</v>
      </c>
      <c r="C9" s="34" t="s">
        <v>109</v>
      </c>
      <c r="D9" s="34" t="s">
        <v>110</v>
      </c>
      <c r="E9" s="34" t="s">
        <v>111</v>
      </c>
    </row>
    <row r="10" spans="1:12" x14ac:dyDescent="0.3">
      <c r="A10" s="10" t="s">
        <v>112</v>
      </c>
      <c r="B10" s="35">
        <v>28256361.609999999</v>
      </c>
      <c r="C10" s="36">
        <f>B10/D10</f>
        <v>3.1726604971096553</v>
      </c>
      <c r="D10" s="31">
        <v>8906204</v>
      </c>
      <c r="E10" s="5" t="s">
        <v>113</v>
      </c>
    </row>
    <row r="11" spans="1:12" x14ac:dyDescent="0.3">
      <c r="A11" s="23" t="s">
        <v>235</v>
      </c>
      <c r="B11" s="37">
        <v>0</v>
      </c>
      <c r="E11" s="5" t="s">
        <v>236</v>
      </c>
    </row>
    <row r="12" spans="1:12" x14ac:dyDescent="0.3">
      <c r="A12" s="38" t="s">
        <v>116</v>
      </c>
      <c r="B12" s="39">
        <f>B10-B11</f>
        <v>28256361.609999999</v>
      </c>
      <c r="C12" s="40">
        <f>B12/D12</f>
        <v>3.1726604971096553</v>
      </c>
      <c r="D12" s="41">
        <f>D10</f>
        <v>8906204</v>
      </c>
      <c r="E12" s="42"/>
    </row>
    <row r="13" spans="1:12" x14ac:dyDescent="0.3">
      <c r="A13" s="5" t="s">
        <v>117</v>
      </c>
      <c r="B13" s="43">
        <v>28256361.609999999</v>
      </c>
      <c r="C13" s="33">
        <f>B13/D13</f>
        <v>3.1726604971096553</v>
      </c>
      <c r="D13" s="44">
        <v>8906204</v>
      </c>
    </row>
    <row r="14" spans="1:12" x14ac:dyDescent="0.3">
      <c r="A14" s="5" t="s">
        <v>237</v>
      </c>
    </row>
    <row r="16" spans="1:12" x14ac:dyDescent="0.3">
      <c r="A16" s="45" t="s">
        <v>119</v>
      </c>
    </row>
    <row r="17" spans="1:18" x14ac:dyDescent="0.3">
      <c r="A17" s="23" t="s">
        <v>120</v>
      </c>
      <c r="B17" s="37">
        <f>F72</f>
        <v>4175090.0160522447</v>
      </c>
      <c r="D17" s="31">
        <f>C72</f>
        <v>1907358.1669999999</v>
      </c>
      <c r="E17" s="5" t="s">
        <v>121</v>
      </c>
    </row>
    <row r="18" spans="1:18" x14ac:dyDescent="0.3">
      <c r="A18" s="23" t="s">
        <v>122</v>
      </c>
      <c r="B18" s="37">
        <f>G72</f>
        <v>321375.64443370444</v>
      </c>
    </row>
    <row r="19" spans="1:18" x14ac:dyDescent="0.3">
      <c r="A19" s="23" t="s">
        <v>123</v>
      </c>
      <c r="B19" s="37">
        <f>H72</f>
        <v>1716052.62</v>
      </c>
      <c r="E19" s="5" t="s">
        <v>238</v>
      </c>
    </row>
    <row r="20" spans="1:18" x14ac:dyDescent="0.3">
      <c r="A20" s="46" t="s">
        <v>125</v>
      </c>
      <c r="B20" s="35">
        <f>B12-B17-B18-B19</f>
        <v>22043843.329514049</v>
      </c>
      <c r="C20" s="47"/>
      <c r="D20" s="47"/>
      <c r="E20" s="47"/>
    </row>
    <row r="21" spans="1:18" x14ac:dyDescent="0.3">
      <c r="A21" s="48" t="s">
        <v>126</v>
      </c>
      <c r="B21" s="49">
        <f>B17+B18+B19</f>
        <v>6212518.2804859495</v>
      </c>
      <c r="C21" s="50">
        <f>B21/B12</f>
        <v>0.21986264071193523</v>
      </c>
    </row>
    <row r="22" spans="1:18" x14ac:dyDescent="0.3">
      <c r="A22" s="48" t="s">
        <v>127</v>
      </c>
      <c r="B22" s="49">
        <f>B10-B20</f>
        <v>6212518.2804859504</v>
      </c>
      <c r="C22" s="50">
        <f>B22/B10</f>
        <v>0.21986264071193526</v>
      </c>
    </row>
    <row r="24" spans="1:18" ht="18" customHeight="1" x14ac:dyDescent="0.3">
      <c r="A24" s="3" t="s">
        <v>128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8" x14ac:dyDescent="0.3">
      <c r="A25" s="23" t="s">
        <v>129</v>
      </c>
      <c r="B25" s="37">
        <f>$B$6*1000*Supuestos!$F$29*Supuestos!$B$5</f>
        <v>13429764.5625</v>
      </c>
      <c r="C25" s="23" t="s">
        <v>130</v>
      </c>
      <c r="D25" s="37">
        <f>$F$6*Supuestos!$G$29*Supuestos!$B$5</f>
        <v>2407860</v>
      </c>
    </row>
    <row r="26" spans="1:18" x14ac:dyDescent="0.3">
      <c r="A26" s="23" t="s">
        <v>131</v>
      </c>
      <c r="B26" s="51">
        <f>Supuestos!$H$29</f>
        <v>300000</v>
      </c>
      <c r="C26" s="10" t="s">
        <v>132</v>
      </c>
      <c r="D26" s="35">
        <f>B25+D25+B26</f>
        <v>16137624.5625</v>
      </c>
      <c r="E26" s="2" t="s">
        <v>133</v>
      </c>
    </row>
    <row r="28" spans="1:18" ht="18" customHeight="1" x14ac:dyDescent="0.3">
      <c r="A28" s="3" t="s">
        <v>134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ht="25.5" customHeight="1" x14ac:dyDescent="0.3">
      <c r="A29" s="52" t="s">
        <v>135</v>
      </c>
      <c r="B29" s="52" t="s">
        <v>136</v>
      </c>
      <c r="C29" s="52" t="s">
        <v>137</v>
      </c>
      <c r="D29" s="52" t="s">
        <v>138</v>
      </c>
      <c r="E29" s="52" t="s">
        <v>139</v>
      </c>
      <c r="F29" s="52" t="s">
        <v>140</v>
      </c>
      <c r="G29" s="52" t="s">
        <v>141</v>
      </c>
      <c r="H29" s="52" t="s">
        <v>142</v>
      </c>
      <c r="I29" s="52" t="s">
        <v>143</v>
      </c>
      <c r="J29" s="52" t="s">
        <v>144</v>
      </c>
      <c r="K29" s="52" t="s">
        <v>145</v>
      </c>
      <c r="L29" s="52" t="s">
        <v>146</v>
      </c>
      <c r="M29" s="52" t="s">
        <v>147</v>
      </c>
      <c r="N29" s="52" t="s">
        <v>148</v>
      </c>
      <c r="O29" s="52" t="s">
        <v>149</v>
      </c>
      <c r="P29" s="52" t="s">
        <v>150</v>
      </c>
      <c r="Q29" s="52" t="s">
        <v>151</v>
      </c>
      <c r="R29" s="52" t="s">
        <v>152</v>
      </c>
    </row>
    <row r="30" spans="1:18" x14ac:dyDescent="0.3">
      <c r="A30" s="53" t="s">
        <v>153</v>
      </c>
      <c r="B30" s="54">
        <v>195505</v>
      </c>
      <c r="C30" s="54">
        <v>377482</v>
      </c>
      <c r="D30" s="54">
        <v>103027</v>
      </c>
      <c r="E30" s="54">
        <v>31</v>
      </c>
      <c r="F30" s="54">
        <v>1540</v>
      </c>
      <c r="G30" s="54">
        <v>1666</v>
      </c>
      <c r="H30" s="55">
        <v>1.707525</v>
      </c>
      <c r="I30" s="55">
        <v>0.96694999999999998</v>
      </c>
      <c r="J30" s="55">
        <v>1.9327000000000001</v>
      </c>
      <c r="K30" s="54">
        <v>365.14499999999998</v>
      </c>
      <c r="L30" s="56">
        <v>221.09</v>
      </c>
      <c r="M30" s="54">
        <v>264.38</v>
      </c>
      <c r="N30" s="55">
        <v>159.69999999999999</v>
      </c>
      <c r="O30" s="57">
        <v>1</v>
      </c>
      <c r="P30" s="54">
        <v>4</v>
      </c>
      <c r="Q30" s="54">
        <v>22</v>
      </c>
      <c r="R30" s="58">
        <v>137543.92000000001</v>
      </c>
    </row>
    <row r="31" spans="1:18" x14ac:dyDescent="0.3">
      <c r="A31" s="53" t="s">
        <v>154</v>
      </c>
      <c r="B31" s="54">
        <v>225267</v>
      </c>
      <c r="C31" s="54">
        <v>370816</v>
      </c>
      <c r="D31" s="54">
        <v>100217</v>
      </c>
      <c r="E31" s="54">
        <v>28</v>
      </c>
      <c r="F31" s="54">
        <v>1536</v>
      </c>
      <c r="G31" s="54">
        <v>1623</v>
      </c>
      <c r="H31" s="55">
        <v>1.707525</v>
      </c>
      <c r="I31" s="55">
        <v>0.96694999999999998</v>
      </c>
      <c r="J31" s="55">
        <v>1.9327000000000001</v>
      </c>
      <c r="K31" s="54">
        <v>365.14499999999998</v>
      </c>
      <c r="L31" s="56">
        <v>221.09</v>
      </c>
      <c r="M31" s="54">
        <v>264.38</v>
      </c>
      <c r="N31" s="55">
        <v>150.5</v>
      </c>
      <c r="O31" s="57">
        <v>1</v>
      </c>
      <c r="P31" s="54">
        <v>4</v>
      </c>
      <c r="Q31" s="54">
        <v>19</v>
      </c>
      <c r="R31" s="58">
        <v>134640.6</v>
      </c>
    </row>
    <row r="32" spans="1:18" x14ac:dyDescent="0.3">
      <c r="A32" s="53" t="s">
        <v>155</v>
      </c>
      <c r="B32" s="54">
        <v>312887</v>
      </c>
      <c r="C32" s="54">
        <v>449391</v>
      </c>
      <c r="D32" s="54">
        <v>103573</v>
      </c>
      <c r="E32" s="54">
        <v>31</v>
      </c>
      <c r="F32" s="54">
        <v>1493</v>
      </c>
      <c r="G32" s="54">
        <v>1605</v>
      </c>
      <c r="H32" s="55">
        <v>1.707525</v>
      </c>
      <c r="I32" s="55">
        <v>0.96694999999999998</v>
      </c>
      <c r="J32" s="55">
        <v>1.9327000000000001</v>
      </c>
      <c r="K32" s="54">
        <v>365.14499999999998</v>
      </c>
      <c r="L32" s="56">
        <v>221.09</v>
      </c>
      <c r="M32" s="54">
        <v>264.38</v>
      </c>
      <c r="N32" s="55">
        <v>184.5</v>
      </c>
      <c r="O32" s="57">
        <v>1</v>
      </c>
      <c r="P32" s="54">
        <v>4</v>
      </c>
      <c r="Q32" s="54">
        <v>20</v>
      </c>
      <c r="R32" s="58">
        <v>153664</v>
      </c>
    </row>
    <row r="33" spans="1:18" x14ac:dyDescent="0.3">
      <c r="A33" s="53" t="s">
        <v>156</v>
      </c>
      <c r="B33" s="54">
        <v>301373</v>
      </c>
      <c r="C33" s="54">
        <v>492059</v>
      </c>
      <c r="D33" s="54">
        <v>65557</v>
      </c>
      <c r="E33" s="54">
        <v>30</v>
      </c>
      <c r="F33" s="54">
        <v>1490</v>
      </c>
      <c r="G33" s="54">
        <v>1716</v>
      </c>
      <c r="H33" s="55">
        <v>1.707525</v>
      </c>
      <c r="I33" s="55">
        <v>0.96694999999999998</v>
      </c>
      <c r="J33" s="55">
        <v>1.9327000000000001</v>
      </c>
      <c r="K33" s="54">
        <v>365.14499999999998</v>
      </c>
      <c r="L33" s="56">
        <v>221.09</v>
      </c>
      <c r="M33" s="54">
        <v>264.38</v>
      </c>
      <c r="N33" s="55">
        <v>170.6</v>
      </c>
      <c r="O33" s="57">
        <v>1</v>
      </c>
      <c r="P33" s="54">
        <v>2</v>
      </c>
      <c r="Q33" s="54">
        <v>22</v>
      </c>
      <c r="R33" s="58">
        <v>148846.10999999999</v>
      </c>
    </row>
    <row r="34" spans="1:18" x14ac:dyDescent="0.3">
      <c r="A34" s="53" t="s">
        <v>157</v>
      </c>
      <c r="B34" s="54">
        <v>312618</v>
      </c>
      <c r="C34" s="54">
        <v>506177</v>
      </c>
      <c r="D34" s="54">
        <v>49413</v>
      </c>
      <c r="E34" s="54">
        <v>31</v>
      </c>
      <c r="F34" s="54">
        <v>1582</v>
      </c>
      <c r="G34" s="54">
        <v>1715</v>
      </c>
      <c r="H34" s="55">
        <v>1.707525</v>
      </c>
      <c r="I34" s="55">
        <v>0.96694999999999998</v>
      </c>
      <c r="J34" s="55">
        <v>1.9327000000000001</v>
      </c>
      <c r="K34" s="54">
        <v>365.14499999999998</v>
      </c>
      <c r="L34" s="56">
        <v>221.09</v>
      </c>
      <c r="M34" s="54">
        <v>264.38</v>
      </c>
      <c r="N34" s="55">
        <v>166.4</v>
      </c>
      <c r="O34" s="57">
        <v>1</v>
      </c>
      <c r="P34" s="54">
        <v>2</v>
      </c>
      <c r="Q34" s="54">
        <v>21</v>
      </c>
      <c r="R34" s="58">
        <v>143046.14000000001</v>
      </c>
    </row>
    <row r="35" spans="1:18" x14ac:dyDescent="0.3">
      <c r="A35" s="53" t="s">
        <v>158</v>
      </c>
      <c r="B35" s="54">
        <v>233673</v>
      </c>
      <c r="C35" s="54">
        <v>395913</v>
      </c>
      <c r="D35" s="54">
        <v>42282</v>
      </c>
      <c r="E35" s="54">
        <v>30</v>
      </c>
      <c r="F35" s="54">
        <v>1540</v>
      </c>
      <c r="G35" s="54">
        <v>1746</v>
      </c>
      <c r="H35" s="55">
        <v>1.707525</v>
      </c>
      <c r="I35" s="55">
        <v>0.96694999999999998</v>
      </c>
      <c r="J35" s="55">
        <v>1.9327000000000001</v>
      </c>
      <c r="K35" s="54">
        <v>365.14499999999998</v>
      </c>
      <c r="L35" s="56">
        <v>221.09</v>
      </c>
      <c r="M35" s="54">
        <v>264.38</v>
      </c>
      <c r="N35" s="55">
        <v>146.9</v>
      </c>
      <c r="O35" s="57">
        <v>1</v>
      </c>
      <c r="P35" s="54">
        <v>2</v>
      </c>
      <c r="Q35" s="54">
        <v>21</v>
      </c>
      <c r="R35" s="58">
        <v>139778.67000000001</v>
      </c>
    </row>
    <row r="36" spans="1:18" x14ac:dyDescent="0.3">
      <c r="A36" s="53" t="s">
        <v>159</v>
      </c>
      <c r="B36" s="54">
        <v>213143</v>
      </c>
      <c r="C36" s="54">
        <v>485674</v>
      </c>
      <c r="D36" s="54">
        <v>56718</v>
      </c>
      <c r="E36" s="54">
        <v>31</v>
      </c>
      <c r="F36" s="54">
        <v>1627</v>
      </c>
      <c r="G36" s="54">
        <v>1781</v>
      </c>
      <c r="H36" s="55">
        <v>1.707525</v>
      </c>
      <c r="I36" s="55">
        <v>0.96694999999999998</v>
      </c>
      <c r="J36" s="55">
        <v>1.9327000000000001</v>
      </c>
      <c r="K36" s="54">
        <v>365.14499999999998</v>
      </c>
      <c r="L36" s="56">
        <v>221.09</v>
      </c>
      <c r="M36" s="54">
        <v>264.38</v>
      </c>
      <c r="N36" s="55">
        <v>157</v>
      </c>
      <c r="O36" s="57">
        <v>1</v>
      </c>
      <c r="P36" s="54">
        <v>2</v>
      </c>
      <c r="Q36" s="54">
        <v>23</v>
      </c>
      <c r="R36" s="58">
        <v>150698.91</v>
      </c>
    </row>
    <row r="37" spans="1:18" x14ac:dyDescent="0.3">
      <c r="A37" s="53" t="s">
        <v>160</v>
      </c>
      <c r="B37" s="54">
        <v>210539</v>
      </c>
      <c r="C37" s="54">
        <v>466847</v>
      </c>
      <c r="D37" s="54">
        <v>44577</v>
      </c>
      <c r="E37" s="54">
        <v>31</v>
      </c>
      <c r="F37" s="54">
        <v>1664</v>
      </c>
      <c r="G37" s="54">
        <v>1815</v>
      </c>
      <c r="H37" s="55">
        <v>1.707525</v>
      </c>
      <c r="I37" s="55">
        <v>0.96694999999999998</v>
      </c>
      <c r="J37" s="55">
        <v>1.9327000000000001</v>
      </c>
      <c r="K37" s="54">
        <v>365.14499999999998</v>
      </c>
      <c r="L37" s="56">
        <v>221.09</v>
      </c>
      <c r="M37" s="54">
        <v>264.38</v>
      </c>
      <c r="N37" s="55">
        <v>143.6</v>
      </c>
      <c r="O37" s="57">
        <v>1</v>
      </c>
      <c r="P37" s="54">
        <v>2</v>
      </c>
      <c r="Q37" s="54">
        <v>21</v>
      </c>
      <c r="R37" s="58">
        <v>147113.06</v>
      </c>
    </row>
    <row r="38" spans="1:18" x14ac:dyDescent="0.3">
      <c r="A38" s="53" t="s">
        <v>161</v>
      </c>
      <c r="B38" s="54">
        <v>197847</v>
      </c>
      <c r="C38" s="54">
        <v>411635</v>
      </c>
      <c r="D38" s="54">
        <v>49268</v>
      </c>
      <c r="E38" s="54">
        <v>30</v>
      </c>
      <c r="F38" s="54">
        <v>1692</v>
      </c>
      <c r="G38" s="54">
        <v>1776</v>
      </c>
      <c r="H38" s="55">
        <v>1.707525</v>
      </c>
      <c r="I38" s="55">
        <v>0.96694999999999998</v>
      </c>
      <c r="J38" s="55">
        <v>1.9327000000000001</v>
      </c>
      <c r="K38" s="54">
        <v>365.14499999999998</v>
      </c>
      <c r="L38" s="56">
        <v>221.09</v>
      </c>
      <c r="M38" s="54">
        <v>264.38</v>
      </c>
      <c r="N38" s="55">
        <v>129.80000000000001</v>
      </c>
      <c r="O38" s="57">
        <v>1</v>
      </c>
      <c r="P38" s="54">
        <v>2</v>
      </c>
      <c r="Q38" s="54">
        <v>21</v>
      </c>
      <c r="R38" s="58">
        <v>145342.29999999999</v>
      </c>
    </row>
    <row r="39" spans="1:18" x14ac:dyDescent="0.3">
      <c r="A39" s="53" t="s">
        <v>162</v>
      </c>
      <c r="B39" s="54">
        <v>172712</v>
      </c>
      <c r="C39" s="54">
        <v>415203</v>
      </c>
      <c r="D39" s="54">
        <v>56344</v>
      </c>
      <c r="E39" s="54">
        <v>31</v>
      </c>
      <c r="F39" s="54">
        <v>1756</v>
      </c>
      <c r="G39" s="54">
        <v>1756</v>
      </c>
      <c r="H39" s="55">
        <v>1.707525</v>
      </c>
      <c r="I39" s="55">
        <v>0.96694999999999998</v>
      </c>
      <c r="J39" s="55">
        <v>1.9327000000000001</v>
      </c>
      <c r="K39" s="54">
        <v>365.14499999999998</v>
      </c>
      <c r="L39" s="56">
        <v>221.09</v>
      </c>
      <c r="M39" s="54">
        <v>264.38</v>
      </c>
      <c r="N39" s="55">
        <v>152.80000000000001</v>
      </c>
      <c r="O39" s="57">
        <v>1</v>
      </c>
      <c r="P39" s="54">
        <v>2</v>
      </c>
      <c r="Q39" s="54">
        <v>23</v>
      </c>
      <c r="R39" s="58">
        <v>135088.70000000001</v>
      </c>
    </row>
    <row r="40" spans="1:18" x14ac:dyDescent="0.3">
      <c r="A40" s="53" t="s">
        <v>163</v>
      </c>
      <c r="B40" s="54">
        <v>248446</v>
      </c>
      <c r="C40" s="54">
        <v>348173</v>
      </c>
      <c r="D40" s="54">
        <v>86947</v>
      </c>
      <c r="E40" s="54">
        <v>30</v>
      </c>
      <c r="F40" s="54">
        <v>1638</v>
      </c>
      <c r="G40" s="54">
        <v>1734</v>
      </c>
      <c r="H40" s="55">
        <v>1.707525</v>
      </c>
      <c r="I40" s="55">
        <v>0.96694999999999998</v>
      </c>
      <c r="J40" s="55">
        <v>1.9327000000000001</v>
      </c>
      <c r="K40" s="54">
        <v>365.14499999999998</v>
      </c>
      <c r="L40" s="56">
        <v>221.09</v>
      </c>
      <c r="M40" s="54">
        <v>264.38</v>
      </c>
      <c r="N40" s="55">
        <v>154.30000000000001</v>
      </c>
      <c r="O40" s="57">
        <v>1</v>
      </c>
      <c r="P40" s="54">
        <v>4</v>
      </c>
      <c r="Q40" s="54">
        <v>19</v>
      </c>
      <c r="R40" s="58">
        <v>136386.42000000001</v>
      </c>
    </row>
    <row r="41" spans="1:18" x14ac:dyDescent="0.3">
      <c r="A41" s="53" t="s">
        <v>164</v>
      </c>
      <c r="B41" s="54">
        <v>268553</v>
      </c>
      <c r="C41" s="54">
        <v>419527</v>
      </c>
      <c r="D41" s="54">
        <v>116821</v>
      </c>
      <c r="E41" s="54">
        <v>31</v>
      </c>
      <c r="F41" s="54">
        <v>1750</v>
      </c>
      <c r="G41" s="54">
        <v>1764</v>
      </c>
      <c r="H41" s="55">
        <v>1.707525</v>
      </c>
      <c r="I41" s="55">
        <v>0.96694999999999998</v>
      </c>
      <c r="J41" s="55">
        <v>1.9327000000000001</v>
      </c>
      <c r="K41" s="54">
        <v>365.14499999999998</v>
      </c>
      <c r="L41" s="56">
        <v>221.09</v>
      </c>
      <c r="M41" s="54">
        <v>264.38</v>
      </c>
      <c r="N41" s="55">
        <v>153.30000000000001</v>
      </c>
      <c r="O41" s="57">
        <v>1</v>
      </c>
      <c r="P41" s="54">
        <v>4</v>
      </c>
      <c r="Q41" s="54">
        <v>22</v>
      </c>
      <c r="R41" s="58">
        <v>143903.79</v>
      </c>
    </row>
    <row r="42" spans="1:18" ht="18" customHeight="1" x14ac:dyDescent="0.3">
      <c r="A42" s="3" t="s">
        <v>165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8" ht="25.5" customHeight="1" x14ac:dyDescent="0.3">
      <c r="A43" s="52" t="s">
        <v>135</v>
      </c>
      <c r="B43" s="52" t="s">
        <v>166</v>
      </c>
      <c r="C43" s="52" t="s">
        <v>167</v>
      </c>
      <c r="D43" s="52" t="s">
        <v>168</v>
      </c>
      <c r="E43" s="52" t="s">
        <v>169</v>
      </c>
      <c r="F43" s="52" t="s">
        <v>170</v>
      </c>
      <c r="G43" s="52" t="s">
        <v>171</v>
      </c>
      <c r="H43" s="52" t="s">
        <v>172</v>
      </c>
      <c r="I43" s="52" t="s">
        <v>173</v>
      </c>
      <c r="J43" s="52" t="s">
        <v>174</v>
      </c>
      <c r="K43" s="52" t="s">
        <v>175</v>
      </c>
      <c r="L43" s="52" t="s">
        <v>176</v>
      </c>
      <c r="M43" s="52" t="s">
        <v>177</v>
      </c>
      <c r="N43" s="52" t="s">
        <v>178</v>
      </c>
      <c r="O43" s="52" t="s">
        <v>179</v>
      </c>
      <c r="P43" s="52" t="s">
        <v>180</v>
      </c>
      <c r="Q43" s="52" t="s">
        <v>181</v>
      </c>
    </row>
    <row r="45" spans="1:18" x14ac:dyDescent="0.3">
      <c r="A45" s="59" t="str">
        <f t="shared" ref="A45:A56" si="0">A30</f>
        <v>Ene</v>
      </c>
      <c r="B45" s="60">
        <f t="shared" ref="B45:B56" si="1">$B$6*N30</f>
        <v>162942.70849999998</v>
      </c>
      <c r="C45" s="60">
        <f>(B30+C30+D30)/(E30*24*Supuestos!$B$16)</f>
        <v>1594.0718732314658</v>
      </c>
      <c r="D45" s="60">
        <f t="shared" ref="D45:D56" si="2">MIN(B45*O30,C30)</f>
        <v>162942.70849999998</v>
      </c>
      <c r="E45" s="61">
        <f t="shared" ref="E45:E56" si="3">D45*H30*O45</f>
        <v>278228.74833146244</v>
      </c>
      <c r="F45" s="60">
        <f>((B30+C30+D30)-D45)/(E30*24*Supuestos!$B$16)</f>
        <v>1209.8455279664215</v>
      </c>
      <c r="G45" s="60">
        <f t="shared" ref="G45:G56" si="4">MIN(F30,C45)</f>
        <v>1540</v>
      </c>
      <c r="H45" s="60">
        <f t="shared" ref="H45:H56" si="5">MIN(F30,F45)</f>
        <v>1209.8455279664215</v>
      </c>
      <c r="I45" s="61">
        <f t="shared" ref="I45:I56" si="6">(G45-H45)*K30</f>
        <v>120554.25469070101</v>
      </c>
      <c r="J45" s="60">
        <f t="shared" ref="J45:J56" si="7">IF(P30=0,0,MIN($D$6,$H$6/P30))</f>
        <v>115.22399750052068</v>
      </c>
      <c r="K45" s="60">
        <f t="shared" ref="K45:K56" si="8">MIN(MAX(F30-J45,0),F45)</f>
        <v>1209.8455279664215</v>
      </c>
      <c r="L45" s="61">
        <f t="shared" ref="L45:L56" si="9">(H45-K45)*K30</f>
        <v>0</v>
      </c>
      <c r="M45" s="60">
        <f t="shared" ref="M45:M56" si="10">IF(P30=0,0,MIN($H$6*Q30,D30))</f>
        <v>10139.71178004582</v>
      </c>
      <c r="N45" s="61">
        <f>M45*J30-(M45/Supuestos!$B$18)*I30</f>
        <v>9383.9018888411138</v>
      </c>
      <c r="O45" s="62">
        <v>1</v>
      </c>
      <c r="P45" s="61">
        <f t="shared" ref="P45:P56" si="11">M30+B30*I30+C30*H30+D30*J30+G45*K30+MIN(G30,C45)*L30</f>
        <v>1947744.8251527448</v>
      </c>
      <c r="Q45" s="61">
        <f t="shared" ref="Q45:Q56" si="12">(E45+I45)+(L45+N45)</f>
        <v>408166.90491100459</v>
      </c>
    </row>
    <row r="46" spans="1:18" x14ac:dyDescent="0.3">
      <c r="A46" s="59" t="str">
        <f t="shared" si="0"/>
        <v>Feb</v>
      </c>
      <c r="B46" s="60">
        <f t="shared" si="1"/>
        <v>153555.9025</v>
      </c>
      <c r="C46" s="60">
        <f>(B31+C31+D31)/(E31*24*Supuestos!$B$16)</f>
        <v>1817.8258145363411</v>
      </c>
      <c r="D46" s="60">
        <f t="shared" si="2"/>
        <v>153555.9025</v>
      </c>
      <c r="E46" s="61">
        <f t="shared" si="3"/>
        <v>262200.5424163125</v>
      </c>
      <c r="F46" s="60">
        <f>((B31+C31+D31)-D46)/(E31*24*Supuestos!$B$16)</f>
        <v>1416.9384333228909</v>
      </c>
      <c r="G46" s="60">
        <f t="shared" si="4"/>
        <v>1536</v>
      </c>
      <c r="H46" s="60">
        <f t="shared" si="5"/>
        <v>1416.9384333228909</v>
      </c>
      <c r="I46" s="61">
        <f t="shared" si="6"/>
        <v>43474.735764313002</v>
      </c>
      <c r="J46" s="60">
        <f t="shared" si="7"/>
        <v>115.22399750052068</v>
      </c>
      <c r="K46" s="60">
        <f t="shared" si="8"/>
        <v>1416.9384333228909</v>
      </c>
      <c r="L46" s="61">
        <f t="shared" si="9"/>
        <v>0</v>
      </c>
      <c r="M46" s="60">
        <f t="shared" si="10"/>
        <v>8757.0238100395727</v>
      </c>
      <c r="N46" s="61">
        <f>M46*J31-(M46/Supuestos!$B$18)*I31</f>
        <v>8104.2789039991439</v>
      </c>
      <c r="O46" s="62">
        <v>1</v>
      </c>
      <c r="P46" s="61">
        <f t="shared" si="11"/>
        <v>1964645.08195</v>
      </c>
      <c r="Q46" s="61">
        <f t="shared" si="12"/>
        <v>313779.55708462466</v>
      </c>
    </row>
    <row r="47" spans="1:18" x14ac:dyDescent="0.3">
      <c r="A47" s="59" t="str">
        <f t="shared" si="0"/>
        <v>Mar</v>
      </c>
      <c r="B47" s="60">
        <f t="shared" si="1"/>
        <v>188246.27249999999</v>
      </c>
      <c r="C47" s="60">
        <f>(B32+C32+D32)/(E32*24*Supuestos!$B$16)</f>
        <v>2041.7161856253538</v>
      </c>
      <c r="D47" s="60">
        <f t="shared" si="2"/>
        <v>188246.27249999999</v>
      </c>
      <c r="E47" s="61">
        <f t="shared" si="3"/>
        <v>321435.21645056247</v>
      </c>
      <c r="F47" s="60">
        <f>((B32+C32+D32)-D47)/(E32*24*Supuestos!$B$16)</f>
        <v>1597.8228812959821</v>
      </c>
      <c r="G47" s="60">
        <f t="shared" si="4"/>
        <v>1493</v>
      </c>
      <c r="H47" s="60">
        <f t="shared" si="5"/>
        <v>1493</v>
      </c>
      <c r="I47" s="61">
        <f t="shared" si="6"/>
        <v>0</v>
      </c>
      <c r="J47" s="60">
        <f t="shared" si="7"/>
        <v>115.22399750052068</v>
      </c>
      <c r="K47" s="60">
        <f t="shared" si="8"/>
        <v>1377.7760024994793</v>
      </c>
      <c r="L47" s="61">
        <f t="shared" si="9"/>
        <v>42073.466567327625</v>
      </c>
      <c r="M47" s="60">
        <f t="shared" si="10"/>
        <v>9217.9198000416545</v>
      </c>
      <c r="N47" s="61">
        <f>M47*J32-(M47/Supuestos!$B$18)*I32</f>
        <v>8530.8198989464654</v>
      </c>
      <c r="O47" s="62">
        <v>1</v>
      </c>
      <c r="P47" s="61">
        <f t="shared" si="11"/>
        <v>2170343.3040250004</v>
      </c>
      <c r="Q47" s="61">
        <f t="shared" si="12"/>
        <v>372039.50291683653</v>
      </c>
    </row>
    <row r="48" spans="1:18" x14ac:dyDescent="0.3">
      <c r="A48" s="59" t="str">
        <f t="shared" si="0"/>
        <v>Abr</v>
      </c>
      <c r="B48" s="60">
        <f t="shared" si="1"/>
        <v>174064.033</v>
      </c>
      <c r="C48" s="60">
        <f>(B33+C33+D33)/(E33*24*Supuestos!$B$16)</f>
        <v>2093.0531189083822</v>
      </c>
      <c r="D48" s="60">
        <f t="shared" si="2"/>
        <v>174064.033</v>
      </c>
      <c r="E48" s="61">
        <f t="shared" si="3"/>
        <v>297218.68794832501</v>
      </c>
      <c r="F48" s="60">
        <f>((B33+C33+D33)-D48)/(E33*24*Supuestos!$B$16)</f>
        <v>1668.9204848927875</v>
      </c>
      <c r="G48" s="60">
        <f t="shared" si="4"/>
        <v>1490</v>
      </c>
      <c r="H48" s="60">
        <f t="shared" si="5"/>
        <v>1490</v>
      </c>
      <c r="I48" s="61">
        <f t="shared" si="6"/>
        <v>0</v>
      </c>
      <c r="J48" s="60">
        <f t="shared" si="7"/>
        <v>230.44799500104136</v>
      </c>
      <c r="K48" s="60">
        <f t="shared" si="8"/>
        <v>1259.5520049989586</v>
      </c>
      <c r="L48" s="61">
        <f t="shared" si="9"/>
        <v>84146.93313465525</v>
      </c>
      <c r="M48" s="60">
        <f t="shared" si="10"/>
        <v>10139.71178004582</v>
      </c>
      <c r="N48" s="61">
        <f>M48*J33-(M48/Supuestos!$B$18)*I33</f>
        <v>9383.9018888411138</v>
      </c>
      <c r="O48" s="62">
        <v>1</v>
      </c>
      <c r="P48" s="61">
        <f t="shared" si="11"/>
        <v>2182038.5502249999</v>
      </c>
      <c r="Q48" s="61">
        <f t="shared" si="12"/>
        <v>390749.52297182137</v>
      </c>
    </row>
    <row r="49" spans="1:17" x14ac:dyDescent="0.3">
      <c r="A49" s="59" t="str">
        <f t="shared" si="0"/>
        <v>May</v>
      </c>
      <c r="B49" s="60">
        <f t="shared" si="1"/>
        <v>169778.75200000001</v>
      </c>
      <c r="C49" s="60">
        <f>(B34+C34+D34)/(E34*24*Supuestos!$B$16)</f>
        <v>2047.274099226561</v>
      </c>
      <c r="D49" s="60">
        <f t="shared" si="2"/>
        <v>169778.75200000001</v>
      </c>
      <c r="E49" s="61">
        <f t="shared" si="3"/>
        <v>289901.46350880002</v>
      </c>
      <c r="F49" s="60">
        <f>((B34+C34+D34)-D49)/(E34*24*Supuestos!$B$16)</f>
        <v>1646.9280513110734</v>
      </c>
      <c r="G49" s="60">
        <f t="shared" si="4"/>
        <v>1582</v>
      </c>
      <c r="H49" s="60">
        <f t="shared" si="5"/>
        <v>1582</v>
      </c>
      <c r="I49" s="61">
        <f t="shared" si="6"/>
        <v>0</v>
      </c>
      <c r="J49" s="60">
        <f t="shared" si="7"/>
        <v>230.44799500104136</v>
      </c>
      <c r="K49" s="60">
        <f t="shared" si="8"/>
        <v>1351.5520049989586</v>
      </c>
      <c r="L49" s="61">
        <f t="shared" si="9"/>
        <v>84146.93313465525</v>
      </c>
      <c r="M49" s="60">
        <f t="shared" si="10"/>
        <v>9678.8157900437363</v>
      </c>
      <c r="N49" s="61">
        <f>M49*J34-(M49/Supuestos!$B$18)*I34</f>
        <v>8957.3608938937887</v>
      </c>
      <c r="O49" s="62">
        <v>1</v>
      </c>
      <c r="P49" s="61">
        <f t="shared" si="11"/>
        <v>2219189.4821250001</v>
      </c>
      <c r="Q49" s="61">
        <f t="shared" si="12"/>
        <v>383005.75753734907</v>
      </c>
    </row>
    <row r="50" spans="1:17" x14ac:dyDescent="0.3">
      <c r="A50" s="59" t="str">
        <f t="shared" si="0"/>
        <v>Jun</v>
      </c>
      <c r="B50" s="60">
        <f t="shared" si="1"/>
        <v>149882.8045</v>
      </c>
      <c r="C50" s="60">
        <f>(B35+C35+D35)/(E35*24*Supuestos!$B$16)</f>
        <v>1637.1052631578948</v>
      </c>
      <c r="D50" s="60">
        <f t="shared" si="2"/>
        <v>149882.8045</v>
      </c>
      <c r="E50" s="61">
        <f t="shared" si="3"/>
        <v>255928.6357538625</v>
      </c>
      <c r="F50" s="60">
        <f>((B35+C35+D35)-D50)/(E35*24*Supuestos!$B$16)</f>
        <v>1271.8937512183238</v>
      </c>
      <c r="G50" s="60">
        <f t="shared" si="4"/>
        <v>1540</v>
      </c>
      <c r="H50" s="60">
        <f t="shared" si="5"/>
        <v>1271.8937512183238</v>
      </c>
      <c r="I50" s="61">
        <f t="shared" si="6"/>
        <v>97897.65621138514</v>
      </c>
      <c r="J50" s="60">
        <f t="shared" si="7"/>
        <v>230.44799500104136</v>
      </c>
      <c r="K50" s="60">
        <f t="shared" si="8"/>
        <v>1271.8937512183238</v>
      </c>
      <c r="L50" s="61">
        <f t="shared" si="9"/>
        <v>0</v>
      </c>
      <c r="M50" s="60">
        <f t="shared" si="10"/>
        <v>9678.8157900437363</v>
      </c>
      <c r="N50" s="61">
        <f>M50*J35-(M50/Supuestos!$B$18)*I35</f>
        <v>8957.3608938937887</v>
      </c>
      <c r="O50" s="62">
        <v>1</v>
      </c>
      <c r="P50" s="61">
        <f t="shared" si="11"/>
        <v>1908235.1567065788</v>
      </c>
      <c r="Q50" s="61">
        <f t="shared" si="12"/>
        <v>362783.65285914147</v>
      </c>
    </row>
    <row r="51" spans="1:17" x14ac:dyDescent="0.3">
      <c r="A51" s="59" t="str">
        <f t="shared" si="0"/>
        <v>Jul</v>
      </c>
      <c r="B51" s="60">
        <f t="shared" si="1"/>
        <v>160187.88499999998</v>
      </c>
      <c r="C51" s="60">
        <f>(B36+C36+D36)/(E36*24*Supuestos!$B$16)</f>
        <v>1781.5860215053765</v>
      </c>
      <c r="D51" s="60">
        <f t="shared" si="2"/>
        <v>160187.88499999998</v>
      </c>
      <c r="E51" s="61">
        <f t="shared" si="3"/>
        <v>273524.81833462499</v>
      </c>
      <c r="F51" s="60">
        <f>((B36+C36+D36)-D51)/(E36*24*Supuestos!$B$16)</f>
        <v>1403.8556758158838</v>
      </c>
      <c r="G51" s="60">
        <f t="shared" si="4"/>
        <v>1627</v>
      </c>
      <c r="H51" s="60">
        <f t="shared" si="5"/>
        <v>1403.8556758158838</v>
      </c>
      <c r="I51" s="61">
        <f t="shared" si="6"/>
        <v>81480.034254209095</v>
      </c>
      <c r="J51" s="60">
        <f t="shared" si="7"/>
        <v>230.44799500104136</v>
      </c>
      <c r="K51" s="60">
        <f t="shared" si="8"/>
        <v>1396.5520049989586</v>
      </c>
      <c r="L51" s="61">
        <f t="shared" si="9"/>
        <v>2666.8988804461537</v>
      </c>
      <c r="M51" s="60">
        <f t="shared" si="10"/>
        <v>10600.607770047904</v>
      </c>
      <c r="N51" s="61">
        <f>M51*J36-(M51/Supuestos!$B$18)*I36</f>
        <v>9810.442883788437</v>
      </c>
      <c r="O51" s="62">
        <v>1</v>
      </c>
      <c r="P51" s="61">
        <f t="shared" si="11"/>
        <v>2133134.5842999998</v>
      </c>
      <c r="Q51" s="61">
        <f t="shared" si="12"/>
        <v>367482.19435306865</v>
      </c>
    </row>
    <row r="52" spans="1:17" x14ac:dyDescent="0.3">
      <c r="A52" s="59" t="str">
        <f t="shared" si="0"/>
        <v>Ago</v>
      </c>
      <c r="B52" s="60">
        <f t="shared" si="1"/>
        <v>146515.79799999998</v>
      </c>
      <c r="C52" s="60">
        <f>(B37+C37+D37)/(E37*24*Supuestos!$B$16)</f>
        <v>1702.4217128843616</v>
      </c>
      <c r="D52" s="60">
        <f t="shared" si="2"/>
        <v>146515.79799999998</v>
      </c>
      <c r="E52" s="61">
        <f t="shared" si="3"/>
        <v>250179.38797994997</v>
      </c>
      <c r="F52" s="60">
        <f>((B37+C37+D37)-D52)/(E37*24*Supuestos!$B$16)</f>
        <v>1356.9307724957557</v>
      </c>
      <c r="G52" s="60">
        <f t="shared" si="4"/>
        <v>1664</v>
      </c>
      <c r="H52" s="60">
        <f t="shared" si="5"/>
        <v>1356.9307724957557</v>
      </c>
      <c r="I52" s="61">
        <f t="shared" si="6"/>
        <v>112124.79307703728</v>
      </c>
      <c r="J52" s="60">
        <f t="shared" si="7"/>
        <v>230.44799500104136</v>
      </c>
      <c r="K52" s="60">
        <f t="shared" si="8"/>
        <v>1356.9307724957557</v>
      </c>
      <c r="L52" s="61">
        <f t="shared" si="9"/>
        <v>0</v>
      </c>
      <c r="M52" s="60">
        <f t="shared" si="10"/>
        <v>9678.8157900437363</v>
      </c>
      <c r="N52" s="61">
        <f>M52*J37-(M52/Supuestos!$B$18)*I37</f>
        <v>8957.3608938937887</v>
      </c>
      <c r="O52" s="62">
        <v>1</v>
      </c>
      <c r="P52" s="61">
        <f t="shared" si="11"/>
        <v>2071141.6541266036</v>
      </c>
      <c r="Q52" s="61">
        <f t="shared" si="12"/>
        <v>371261.54195088107</v>
      </c>
    </row>
    <row r="53" spans="1:17" x14ac:dyDescent="0.3">
      <c r="A53" s="59" t="str">
        <f t="shared" si="0"/>
        <v>Sep</v>
      </c>
      <c r="B53" s="60">
        <f t="shared" si="1"/>
        <v>132435.58900000001</v>
      </c>
      <c r="C53" s="60">
        <f>(B38+C38+D38)/(E38*24*Supuestos!$B$16)</f>
        <v>1605.1413255360624</v>
      </c>
      <c r="D53" s="60">
        <f t="shared" si="2"/>
        <v>132435.58900000001</v>
      </c>
      <c r="E53" s="61">
        <f t="shared" si="3"/>
        <v>226137.079107225</v>
      </c>
      <c r="F53" s="60">
        <f>((B38+C38+D38)-D53)/(E38*24*Supuestos!$B$16)</f>
        <v>1282.4425219298246</v>
      </c>
      <c r="G53" s="60">
        <f t="shared" si="4"/>
        <v>1605.1413255360624</v>
      </c>
      <c r="H53" s="60">
        <f t="shared" si="5"/>
        <v>1282.4425219298246</v>
      </c>
      <c r="I53" s="61">
        <f t="shared" si="6"/>
        <v>117831.85464279969</v>
      </c>
      <c r="J53" s="60">
        <f t="shared" si="7"/>
        <v>230.44799500104136</v>
      </c>
      <c r="K53" s="60">
        <f t="shared" si="8"/>
        <v>1282.4425219298246</v>
      </c>
      <c r="L53" s="61">
        <f t="shared" si="9"/>
        <v>0</v>
      </c>
      <c r="M53" s="60">
        <f t="shared" si="10"/>
        <v>9678.8157900437363</v>
      </c>
      <c r="N53" s="61">
        <f>M53*J38-(M53/Supuestos!$B$18)*I38</f>
        <v>8957.3608938937887</v>
      </c>
      <c r="O53" s="62">
        <v>1</v>
      </c>
      <c r="P53" s="61">
        <f t="shared" si="11"/>
        <v>1930659.8786006337</v>
      </c>
      <c r="Q53" s="61">
        <f t="shared" si="12"/>
        <v>352926.29464391852</v>
      </c>
    </row>
    <row r="54" spans="1:17" x14ac:dyDescent="0.3">
      <c r="A54" s="59" t="str">
        <f t="shared" si="0"/>
        <v>Oct</v>
      </c>
      <c r="B54" s="60">
        <f t="shared" si="1"/>
        <v>155902.60399999999</v>
      </c>
      <c r="C54" s="60">
        <f>(B39+C39+D39)/(E39*24*Supuestos!$B$16)</f>
        <v>1519.1921335597058</v>
      </c>
      <c r="D54" s="60">
        <f t="shared" si="2"/>
        <v>155902.60399999999</v>
      </c>
      <c r="E54" s="61">
        <f t="shared" si="3"/>
        <v>266207.5938951</v>
      </c>
      <c r="F54" s="60">
        <f>((B39+C39+D39)-D54)/(E39*24*Supuestos!$B$16)</f>
        <v>1151.5666760988493</v>
      </c>
      <c r="G54" s="60">
        <f t="shared" si="4"/>
        <v>1519.1921335597058</v>
      </c>
      <c r="H54" s="60">
        <f t="shared" si="5"/>
        <v>1151.5666760988493</v>
      </c>
      <c r="I54" s="61">
        <f t="shared" si="6"/>
        <v>134236.59766454445</v>
      </c>
      <c r="J54" s="60">
        <f t="shared" si="7"/>
        <v>230.44799500104136</v>
      </c>
      <c r="K54" s="60">
        <f t="shared" si="8"/>
        <v>1151.5666760988493</v>
      </c>
      <c r="L54" s="61">
        <f t="shared" si="9"/>
        <v>0</v>
      </c>
      <c r="M54" s="60">
        <f t="shared" si="10"/>
        <v>10600.607770047904</v>
      </c>
      <c r="N54" s="61">
        <f>M54*J39-(M54/Supuestos!$B$18)*I39</f>
        <v>9810.442883788437</v>
      </c>
      <c r="O54" s="62">
        <v>1</v>
      </c>
      <c r="P54" s="61">
        <f t="shared" si="11"/>
        <v>1875737.4001923741</v>
      </c>
      <c r="Q54" s="61">
        <f t="shared" si="12"/>
        <v>410254.63444343285</v>
      </c>
    </row>
    <row r="55" spans="1:17" x14ac:dyDescent="0.3">
      <c r="A55" s="59" t="str">
        <f t="shared" si="0"/>
        <v>Nov</v>
      </c>
      <c r="B55" s="60">
        <f t="shared" si="1"/>
        <v>157433.06150000001</v>
      </c>
      <c r="C55" s="60">
        <f>(B40+C40+D40)/(E40*24*Supuestos!$B$16)</f>
        <v>1665.6091617933723</v>
      </c>
      <c r="D55" s="60">
        <f t="shared" si="2"/>
        <v>157433.06150000001</v>
      </c>
      <c r="E55" s="61">
        <f t="shared" si="3"/>
        <v>268820.88833778753</v>
      </c>
      <c r="F55" s="60">
        <f>((B40+C40+D40)-D55)/(E40*24*Supuestos!$B$16)</f>
        <v>1282.0003374756334</v>
      </c>
      <c r="G55" s="60">
        <f t="shared" si="4"/>
        <v>1638</v>
      </c>
      <c r="H55" s="60">
        <f t="shared" si="5"/>
        <v>1282.0003374756334</v>
      </c>
      <c r="I55" s="61">
        <f t="shared" si="6"/>
        <v>129991.49677245984</v>
      </c>
      <c r="J55" s="60">
        <f t="shared" si="7"/>
        <v>115.22399750052068</v>
      </c>
      <c r="K55" s="60">
        <f t="shared" si="8"/>
        <v>1282.0003374756334</v>
      </c>
      <c r="L55" s="61">
        <f t="shared" si="9"/>
        <v>0</v>
      </c>
      <c r="M55" s="60">
        <f t="shared" si="10"/>
        <v>8757.0238100395727</v>
      </c>
      <c r="N55" s="61">
        <f>M55*J40-(M55/Supuestos!$B$18)*I40</f>
        <v>8104.2789039991439</v>
      </c>
      <c r="O55" s="62">
        <v>1</v>
      </c>
      <c r="P55" s="61">
        <f t="shared" si="11"/>
        <v>1969412.8480058969</v>
      </c>
      <c r="Q55" s="61">
        <f t="shared" si="12"/>
        <v>406916.66401424649</v>
      </c>
    </row>
    <row r="56" spans="1:17" x14ac:dyDescent="0.3">
      <c r="A56" s="59" t="str">
        <f t="shared" si="0"/>
        <v>Dic</v>
      </c>
      <c r="B56" s="60">
        <f t="shared" si="1"/>
        <v>156412.75650000002</v>
      </c>
      <c r="C56" s="60">
        <f>(B41+C41+D41)/(E41*24*Supuestos!$B$16)</f>
        <v>1897.993303150349</v>
      </c>
      <c r="D56" s="60">
        <f t="shared" si="2"/>
        <v>156412.75650000002</v>
      </c>
      <c r="E56" s="61">
        <f t="shared" si="3"/>
        <v>267078.69204266253</v>
      </c>
      <c r="F56" s="60">
        <f>((B41+C41+D41)-D56)/(E41*24*Supuestos!$B$16)</f>
        <v>1529.1648828051311</v>
      </c>
      <c r="G56" s="60">
        <f t="shared" si="4"/>
        <v>1750</v>
      </c>
      <c r="H56" s="60">
        <f t="shared" si="5"/>
        <v>1529.1648828051311</v>
      </c>
      <c r="I56" s="61">
        <f t="shared" si="6"/>
        <v>80636.838868120394</v>
      </c>
      <c r="J56" s="60">
        <f t="shared" si="7"/>
        <v>115.22399750052068</v>
      </c>
      <c r="K56" s="60">
        <f t="shared" si="8"/>
        <v>1529.1648828051311</v>
      </c>
      <c r="L56" s="61">
        <f t="shared" si="9"/>
        <v>0</v>
      </c>
      <c r="M56" s="60">
        <f t="shared" si="10"/>
        <v>10139.71178004582</v>
      </c>
      <c r="N56" s="61">
        <f>M56*J41-(M56/Supuestos!$B$18)*I41</f>
        <v>9383.9018888411138</v>
      </c>
      <c r="O56" s="62">
        <v>1</v>
      </c>
      <c r="P56" s="61">
        <f t="shared" si="11"/>
        <v>2231081.0007250002</v>
      </c>
      <c r="Q56" s="61">
        <f t="shared" si="12"/>
        <v>357099.43279962405</v>
      </c>
    </row>
    <row r="57" spans="1:17" x14ac:dyDescent="0.3">
      <c r="A57" s="63" t="s">
        <v>182</v>
      </c>
    </row>
    <row r="58" spans="1:17" ht="18" customHeight="1" x14ac:dyDescent="0.3">
      <c r="A58" s="3" t="s">
        <v>183</v>
      </c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7" ht="25.5" customHeight="1" x14ac:dyDescent="0.3">
      <c r="A59" s="64" t="s">
        <v>135</v>
      </c>
      <c r="B59" s="64" t="s">
        <v>184</v>
      </c>
      <c r="C59" s="64" t="s">
        <v>185</v>
      </c>
      <c r="D59" s="64" t="s">
        <v>186</v>
      </c>
      <c r="E59" s="64" t="s">
        <v>187</v>
      </c>
      <c r="F59" s="64" t="s">
        <v>188</v>
      </c>
      <c r="G59" s="64" t="s">
        <v>189</v>
      </c>
      <c r="H59" s="64" t="s">
        <v>190</v>
      </c>
      <c r="I59" s="64" t="s">
        <v>191</v>
      </c>
      <c r="J59" s="64" t="s">
        <v>192</v>
      </c>
      <c r="K59" s="64" t="s">
        <v>17</v>
      </c>
    </row>
    <row r="60" spans="1:17" x14ac:dyDescent="0.3">
      <c r="A60" s="12" t="str">
        <f t="shared" ref="A60:A71" si="13">A30</f>
        <v>Ene</v>
      </c>
      <c r="B60" s="65">
        <f t="shared" ref="B60:B71" si="14">B30+C30+D30</f>
        <v>676014</v>
      </c>
      <c r="C60" s="65">
        <f t="shared" ref="C60:C71" si="15">B45</f>
        <v>162942.70849999998</v>
      </c>
      <c r="D60" s="65">
        <f t="shared" ref="D60:D71" si="16">M45</f>
        <v>10139.71178004582</v>
      </c>
      <c r="E60" s="66">
        <f t="shared" ref="E60:E71" si="17">(P45+R30)*$L$6</f>
        <v>2238753.0171580771</v>
      </c>
      <c r="F60" s="66">
        <f t="shared" ref="F60:F71" si="18">(E45+I45)*(1-IF(R30&lt;0,-R30/P45,0))</f>
        <v>398783.00302216347</v>
      </c>
      <c r="G60" s="66">
        <f t="shared" ref="G60:G71" si="19">(L45+N45)*(1-IF(R30&lt;0,-R30/P45,0))</f>
        <v>9383.9018888411138</v>
      </c>
      <c r="H60" s="66">
        <f t="shared" ref="H60:H71" si="20">IF($J$6="Sí",MAX(0,R30),0)</f>
        <v>137543.92000000001</v>
      </c>
      <c r="I60" s="66">
        <f t="shared" ref="I60:I71" si="21">E60-F60-G60-H60</f>
        <v>1693042.1922470727</v>
      </c>
      <c r="J60" s="66">
        <f t="shared" ref="J60:J71" si="22">F60+G60+H60</f>
        <v>545710.82491100463</v>
      </c>
      <c r="K60" s="67">
        <f t="shared" ref="K60:K72" si="23">J60/E60</f>
        <v>0.24375660053994794</v>
      </c>
    </row>
    <row r="61" spans="1:17" x14ac:dyDescent="0.3">
      <c r="A61" s="12" t="str">
        <f t="shared" si="13"/>
        <v>Feb</v>
      </c>
      <c r="B61" s="65">
        <f t="shared" si="14"/>
        <v>696300</v>
      </c>
      <c r="C61" s="65">
        <f t="shared" si="15"/>
        <v>153555.9025</v>
      </c>
      <c r="D61" s="65">
        <f t="shared" si="16"/>
        <v>8757.0238100395727</v>
      </c>
      <c r="E61" s="66">
        <f t="shared" si="17"/>
        <v>2253780.0413813009</v>
      </c>
      <c r="F61" s="66">
        <f t="shared" si="18"/>
        <v>305675.27818062552</v>
      </c>
      <c r="G61" s="66">
        <f t="shared" si="19"/>
        <v>8104.2789039991439</v>
      </c>
      <c r="H61" s="66">
        <f t="shared" si="20"/>
        <v>134640.6</v>
      </c>
      <c r="I61" s="66">
        <f t="shared" si="21"/>
        <v>1805359.8842966761</v>
      </c>
      <c r="J61" s="66">
        <f t="shared" si="22"/>
        <v>448420.15708462463</v>
      </c>
      <c r="K61" s="67">
        <f t="shared" si="23"/>
        <v>0.19896358511090376</v>
      </c>
    </row>
    <row r="62" spans="1:17" x14ac:dyDescent="0.3">
      <c r="A62" s="12" t="str">
        <f t="shared" si="13"/>
        <v>Mar</v>
      </c>
      <c r="B62" s="65">
        <f t="shared" si="14"/>
        <v>865851</v>
      </c>
      <c r="C62" s="65">
        <f t="shared" si="15"/>
        <v>188246.27249999999</v>
      </c>
      <c r="D62" s="65">
        <f t="shared" si="16"/>
        <v>9217.9198000416545</v>
      </c>
      <c r="E62" s="66">
        <f t="shared" si="17"/>
        <v>2495039.7760873511</v>
      </c>
      <c r="F62" s="66">
        <f t="shared" si="18"/>
        <v>321435.21645056247</v>
      </c>
      <c r="G62" s="66">
        <f t="shared" si="19"/>
        <v>50604.28646627409</v>
      </c>
      <c r="H62" s="66">
        <f t="shared" si="20"/>
        <v>153664</v>
      </c>
      <c r="I62" s="66">
        <f t="shared" si="21"/>
        <v>1969336.2731705145</v>
      </c>
      <c r="J62" s="66">
        <f t="shared" si="22"/>
        <v>525703.50291683653</v>
      </c>
      <c r="K62" s="67">
        <f t="shared" si="23"/>
        <v>0.21069944774236404</v>
      </c>
    </row>
    <row r="63" spans="1:17" x14ac:dyDescent="0.3">
      <c r="A63" s="12" t="str">
        <f t="shared" si="13"/>
        <v>Abr</v>
      </c>
      <c r="B63" s="65">
        <f t="shared" si="14"/>
        <v>858989</v>
      </c>
      <c r="C63" s="65">
        <f t="shared" si="15"/>
        <v>174064.033</v>
      </c>
      <c r="D63" s="65">
        <f t="shared" si="16"/>
        <v>10139.71178004582</v>
      </c>
      <c r="E63" s="66">
        <f t="shared" si="17"/>
        <v>2502423.2628963646</v>
      </c>
      <c r="F63" s="66">
        <f t="shared" si="18"/>
        <v>297218.68794832501</v>
      </c>
      <c r="G63" s="66">
        <f t="shared" si="19"/>
        <v>93530.835023496358</v>
      </c>
      <c r="H63" s="66">
        <f t="shared" si="20"/>
        <v>148846.10999999999</v>
      </c>
      <c r="I63" s="66">
        <f t="shared" si="21"/>
        <v>1962827.6299245432</v>
      </c>
      <c r="J63" s="66">
        <f t="shared" si="22"/>
        <v>539595.63297182135</v>
      </c>
      <c r="K63" s="67">
        <f t="shared" si="23"/>
        <v>0.21562924265149311</v>
      </c>
    </row>
    <row r="64" spans="1:17" x14ac:dyDescent="0.3">
      <c r="A64" s="12" t="str">
        <f t="shared" si="13"/>
        <v>May</v>
      </c>
      <c r="B64" s="65">
        <f t="shared" si="14"/>
        <v>868208</v>
      </c>
      <c r="C64" s="65">
        <f t="shared" si="15"/>
        <v>169778.75200000001</v>
      </c>
      <c r="D64" s="65">
        <f t="shared" si="16"/>
        <v>9678.8157900437363</v>
      </c>
      <c r="E64" s="66">
        <f t="shared" si="17"/>
        <v>2536081.4604517794</v>
      </c>
      <c r="F64" s="66">
        <f t="shared" si="18"/>
        <v>289901.46350880002</v>
      </c>
      <c r="G64" s="66">
        <f t="shared" si="19"/>
        <v>93104.294028549033</v>
      </c>
      <c r="H64" s="66">
        <f t="shared" si="20"/>
        <v>143046.14000000001</v>
      </c>
      <c r="I64" s="66">
        <f t="shared" si="21"/>
        <v>2010029.5629144302</v>
      </c>
      <c r="J64" s="66">
        <f t="shared" si="22"/>
        <v>526051.89753734902</v>
      </c>
      <c r="K64" s="67">
        <f t="shared" si="23"/>
        <v>0.20742705064514677</v>
      </c>
    </row>
    <row r="65" spans="1:12" x14ac:dyDescent="0.3">
      <c r="A65" s="12" t="str">
        <f t="shared" si="13"/>
        <v>Jun</v>
      </c>
      <c r="B65" s="65">
        <f t="shared" si="14"/>
        <v>671868</v>
      </c>
      <c r="C65" s="65">
        <f t="shared" si="15"/>
        <v>149882.8045</v>
      </c>
      <c r="D65" s="65">
        <f t="shared" si="16"/>
        <v>9678.8157900437363</v>
      </c>
      <c r="E65" s="66">
        <f t="shared" si="17"/>
        <v>2198734.8967276793</v>
      </c>
      <c r="F65" s="66">
        <f t="shared" si="18"/>
        <v>353826.29196524766</v>
      </c>
      <c r="G65" s="66">
        <f t="shared" si="19"/>
        <v>8957.3608938937887</v>
      </c>
      <c r="H65" s="66">
        <f t="shared" si="20"/>
        <v>139778.67000000001</v>
      </c>
      <c r="I65" s="66">
        <f t="shared" si="21"/>
        <v>1696172.573868538</v>
      </c>
      <c r="J65" s="66">
        <f t="shared" si="22"/>
        <v>502562.32285914151</v>
      </c>
      <c r="K65" s="67">
        <f t="shared" si="23"/>
        <v>0.22856885730384874</v>
      </c>
    </row>
    <row r="66" spans="1:12" x14ac:dyDescent="0.3">
      <c r="A66" s="12" t="str">
        <f t="shared" si="13"/>
        <v>Jul</v>
      </c>
      <c r="B66" s="65">
        <f t="shared" si="14"/>
        <v>755535</v>
      </c>
      <c r="C66" s="65">
        <f t="shared" si="15"/>
        <v>160187.88499999998</v>
      </c>
      <c r="D66" s="65">
        <f t="shared" si="16"/>
        <v>10600.607770047904</v>
      </c>
      <c r="E66" s="66">
        <f t="shared" si="17"/>
        <v>2451909.4240238094</v>
      </c>
      <c r="F66" s="66">
        <f t="shared" si="18"/>
        <v>355004.85258883407</v>
      </c>
      <c r="G66" s="66">
        <f t="shared" si="19"/>
        <v>12477.34176423459</v>
      </c>
      <c r="H66" s="66">
        <f t="shared" si="20"/>
        <v>150698.91</v>
      </c>
      <c r="I66" s="66">
        <f t="shared" si="21"/>
        <v>1933728.3196707407</v>
      </c>
      <c r="J66" s="66">
        <f t="shared" si="22"/>
        <v>518181.10435306863</v>
      </c>
      <c r="K66" s="67">
        <f t="shared" si="23"/>
        <v>0.21133778404533626</v>
      </c>
    </row>
    <row r="67" spans="1:12" x14ac:dyDescent="0.3">
      <c r="A67" s="12" t="str">
        <f t="shared" si="13"/>
        <v>Ago</v>
      </c>
      <c r="B67" s="65">
        <f t="shared" si="14"/>
        <v>721963</v>
      </c>
      <c r="C67" s="65">
        <f t="shared" si="15"/>
        <v>146515.79799999998</v>
      </c>
      <c r="D67" s="65">
        <f t="shared" si="16"/>
        <v>9678.8157900437363</v>
      </c>
      <c r="E67" s="66">
        <f t="shared" si="17"/>
        <v>2381504.4538171617</v>
      </c>
      <c r="F67" s="66">
        <f t="shared" si="18"/>
        <v>362304.18105698726</v>
      </c>
      <c r="G67" s="66">
        <f t="shared" si="19"/>
        <v>8957.3608938937887</v>
      </c>
      <c r="H67" s="66">
        <f t="shared" si="20"/>
        <v>147113.06</v>
      </c>
      <c r="I67" s="66">
        <f t="shared" si="21"/>
        <v>1863129.8518662807</v>
      </c>
      <c r="J67" s="66">
        <f t="shared" si="22"/>
        <v>518374.60195088107</v>
      </c>
      <c r="K67" s="67">
        <f t="shared" si="23"/>
        <v>0.2176668622727165</v>
      </c>
    </row>
    <row r="68" spans="1:12" x14ac:dyDescent="0.3">
      <c r="A68" s="12" t="str">
        <f t="shared" si="13"/>
        <v>Sep</v>
      </c>
      <c r="B68" s="65">
        <f t="shared" si="14"/>
        <v>658750</v>
      </c>
      <c r="C68" s="65">
        <f t="shared" si="15"/>
        <v>132435.58900000001</v>
      </c>
      <c r="D68" s="65">
        <f t="shared" si="16"/>
        <v>9678.8157900437363</v>
      </c>
      <c r="E68" s="66">
        <f t="shared" si="17"/>
        <v>2228783.017110887</v>
      </c>
      <c r="F68" s="66">
        <f t="shared" si="18"/>
        <v>343968.93375002471</v>
      </c>
      <c r="G68" s="66">
        <f t="shared" si="19"/>
        <v>8957.3608938937887</v>
      </c>
      <c r="H68" s="66">
        <f t="shared" si="20"/>
        <v>145342.29999999999</v>
      </c>
      <c r="I68" s="66">
        <f t="shared" si="21"/>
        <v>1730514.4224669684</v>
      </c>
      <c r="J68" s="66">
        <f t="shared" si="22"/>
        <v>498268.59464391851</v>
      </c>
      <c r="K68" s="67">
        <f t="shared" si="23"/>
        <v>0.22356083603410215</v>
      </c>
    </row>
    <row r="69" spans="1:12" x14ac:dyDescent="0.3">
      <c r="A69" s="12" t="str">
        <f t="shared" si="13"/>
        <v>Oct</v>
      </c>
      <c r="B69" s="65">
        <f t="shared" si="14"/>
        <v>644259</v>
      </c>
      <c r="C69" s="65">
        <f t="shared" si="15"/>
        <v>155902.60399999999</v>
      </c>
      <c r="D69" s="65">
        <f t="shared" si="16"/>
        <v>10600.607770047904</v>
      </c>
      <c r="E69" s="66">
        <f t="shared" si="17"/>
        <v>2158810.3850127193</v>
      </c>
      <c r="F69" s="66">
        <f t="shared" si="18"/>
        <v>400444.19155964442</v>
      </c>
      <c r="G69" s="66">
        <f t="shared" si="19"/>
        <v>9810.442883788437</v>
      </c>
      <c r="H69" s="66">
        <f t="shared" si="20"/>
        <v>135088.70000000001</v>
      </c>
      <c r="I69" s="66">
        <f t="shared" si="21"/>
        <v>1613467.0505692866</v>
      </c>
      <c r="J69" s="66">
        <f t="shared" si="22"/>
        <v>545343.33444343286</v>
      </c>
      <c r="K69" s="67">
        <f t="shared" si="23"/>
        <v>0.25261289191001357</v>
      </c>
    </row>
    <row r="70" spans="1:12" x14ac:dyDescent="0.3">
      <c r="A70" s="12" t="str">
        <f t="shared" si="13"/>
        <v>Nov</v>
      </c>
      <c r="B70" s="65">
        <f t="shared" si="14"/>
        <v>683566</v>
      </c>
      <c r="C70" s="65">
        <f t="shared" si="15"/>
        <v>157433.06150000001</v>
      </c>
      <c r="D70" s="65">
        <f t="shared" si="16"/>
        <v>8757.0238100395727</v>
      </c>
      <c r="E70" s="66">
        <f t="shared" si="17"/>
        <v>2260772.9868278508</v>
      </c>
      <c r="F70" s="66">
        <f t="shared" si="18"/>
        <v>398812.38511024736</v>
      </c>
      <c r="G70" s="66">
        <f t="shared" si="19"/>
        <v>8104.2789039991439</v>
      </c>
      <c r="H70" s="66">
        <f t="shared" si="20"/>
        <v>136386.42000000001</v>
      </c>
      <c r="I70" s="66">
        <f t="shared" si="21"/>
        <v>1717469.9028136043</v>
      </c>
      <c r="J70" s="66">
        <f t="shared" si="22"/>
        <v>543303.08401424647</v>
      </c>
      <c r="K70" s="67">
        <f t="shared" si="23"/>
        <v>0.24031739903994923</v>
      </c>
    </row>
    <row r="71" spans="1:12" x14ac:dyDescent="0.3">
      <c r="A71" s="12" t="str">
        <f t="shared" si="13"/>
        <v>Dic</v>
      </c>
      <c r="B71" s="65">
        <f t="shared" si="14"/>
        <v>804901</v>
      </c>
      <c r="C71" s="65">
        <f t="shared" si="15"/>
        <v>156412.75650000002</v>
      </c>
      <c r="D71" s="65">
        <f t="shared" si="16"/>
        <v>10139.71178004582</v>
      </c>
      <c r="E71" s="66">
        <f t="shared" si="17"/>
        <v>2549768.8885050183</v>
      </c>
      <c r="F71" s="66">
        <f t="shared" si="18"/>
        <v>347715.53091078292</v>
      </c>
      <c r="G71" s="66">
        <f t="shared" si="19"/>
        <v>9383.9018888411138</v>
      </c>
      <c r="H71" s="66">
        <f t="shared" si="20"/>
        <v>143903.79</v>
      </c>
      <c r="I71" s="66">
        <f t="shared" si="21"/>
        <v>2048765.665705394</v>
      </c>
      <c r="J71" s="66">
        <f t="shared" si="22"/>
        <v>501003.22279962408</v>
      </c>
      <c r="K71" s="67">
        <f t="shared" si="23"/>
        <v>0.196489660321086</v>
      </c>
    </row>
    <row r="72" spans="1:12" x14ac:dyDescent="0.3">
      <c r="A72" s="16" t="s">
        <v>193</v>
      </c>
      <c r="B72" s="28">
        <f t="shared" ref="B72:J72" si="24">SUM(B60:B71)</f>
        <v>8906204</v>
      </c>
      <c r="C72" s="28">
        <f t="shared" si="24"/>
        <v>1907358.1669999999</v>
      </c>
      <c r="D72" s="28">
        <f t="shared" si="24"/>
        <v>117067.58146052901</v>
      </c>
      <c r="E72" s="19">
        <f t="shared" si="24"/>
        <v>28256361.609999999</v>
      </c>
      <c r="F72" s="19">
        <f t="shared" si="24"/>
        <v>4175090.0160522447</v>
      </c>
      <c r="G72" s="19">
        <f t="shared" si="24"/>
        <v>321375.64443370444</v>
      </c>
      <c r="H72" s="19">
        <f t="shared" si="24"/>
        <v>1716052.62</v>
      </c>
      <c r="I72" s="19">
        <f t="shared" si="24"/>
        <v>22043843.329514053</v>
      </c>
      <c r="J72" s="19">
        <f t="shared" si="24"/>
        <v>6212518.2804859504</v>
      </c>
      <c r="K72" s="68">
        <f t="shared" si="23"/>
        <v>0.21986264071193526</v>
      </c>
    </row>
    <row r="73" spans="1:12" x14ac:dyDescent="0.3">
      <c r="A73" s="63" t="s">
        <v>239</v>
      </c>
    </row>
    <row r="75" spans="1:12" ht="18" customHeight="1" x14ac:dyDescent="0.3">
      <c r="A75" s="3" t="s">
        <v>195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x14ac:dyDescent="0.3">
      <c r="A76" s="69" t="s">
        <v>196</v>
      </c>
      <c r="B76" s="70" t="s">
        <v>197</v>
      </c>
      <c r="C76" s="71">
        <f>F72</f>
        <v>4175090.0160522447</v>
      </c>
      <c r="D76" s="70" t="s">
        <v>198</v>
      </c>
      <c r="E76" s="71">
        <f>F72+SUMPRODUCT(E45:E56*(1/O45:O56-1))</f>
        <v>4175090.0160522447</v>
      </c>
      <c r="F76" s="70" t="s">
        <v>199</v>
      </c>
      <c r="G76" s="71">
        <f>G72</f>
        <v>321375.64443370444</v>
      </c>
      <c r="H76" s="70" t="s">
        <v>200</v>
      </c>
      <c r="I76" s="71">
        <f>H72</f>
        <v>1716052.62</v>
      </c>
      <c r="J76" s="70" t="s">
        <v>185</v>
      </c>
      <c r="K76" s="72">
        <f>C72</f>
        <v>1907358.1669999999</v>
      </c>
    </row>
    <row r="77" spans="1:12" ht="25.5" customHeight="1" x14ac:dyDescent="0.3">
      <c r="A77" s="52" t="s">
        <v>201</v>
      </c>
      <c r="B77" s="52" t="s">
        <v>202</v>
      </c>
      <c r="C77" s="52" t="s">
        <v>187</v>
      </c>
      <c r="D77" s="52" t="s">
        <v>203</v>
      </c>
      <c r="E77" s="52" t="s">
        <v>204</v>
      </c>
      <c r="F77" s="52" t="s">
        <v>205</v>
      </c>
      <c r="G77" s="52" t="s">
        <v>206</v>
      </c>
      <c r="H77" s="52" t="s">
        <v>207</v>
      </c>
      <c r="I77" s="52" t="s">
        <v>208</v>
      </c>
      <c r="J77" s="52" t="s">
        <v>209</v>
      </c>
      <c r="K77" s="52" t="s">
        <v>210</v>
      </c>
      <c r="L77" s="52" t="s">
        <v>211</v>
      </c>
    </row>
    <row r="78" spans="1:12" x14ac:dyDescent="0.3">
      <c r="A78" s="12">
        <v>0</v>
      </c>
      <c r="B78" s="12" t="s">
        <v>18</v>
      </c>
      <c r="H78" s="66">
        <f>-B26-B25-D25</f>
        <v>-16137624.5625</v>
      </c>
      <c r="K78" s="66">
        <v>0</v>
      </c>
      <c r="L78" s="66">
        <f>-B26-B25-D25</f>
        <v>-16137624.5625</v>
      </c>
    </row>
    <row r="79" spans="1:12" x14ac:dyDescent="0.3">
      <c r="A79" s="12">
        <v>1</v>
      </c>
      <c r="B79" s="59" t="str">
        <f>IF(A79&lt;=(Supuestos!$B$22-Supuestos!$B$24),"Autoabasto","CFE pleno")</f>
        <v>Autoabasto</v>
      </c>
      <c r="C79" s="61">
        <f>IF(A79&lt;=(Supuestos!$B$22-Supuestos!$B$24),$B$12,$B$10)*(1+Supuestos!$B$8)^A79</f>
        <v>29951743.306600001</v>
      </c>
      <c r="D79" s="61">
        <f>IF(A79&lt;=(Supuestos!$B$22-Supuestos!$B$24),$C$76,$E$76)*(1+Supuestos!$B$8)^A79*(1-Supuestos!$B$11)^A79</f>
        <v>4403467.4399303021</v>
      </c>
      <c r="E79" s="61">
        <f>$G$76*(1+Supuestos!$B$8)^A79*(1-Supuestos!$B$12)^A79*Supuestos!$B$10</f>
        <v>252299.96685823513</v>
      </c>
      <c r="F79" s="61">
        <f>$I$76*(1+Supuestos!$B$8)^A79</f>
        <v>1819015.7772000001</v>
      </c>
      <c r="G79" s="61">
        <f t="shared" ref="G79:G98" si="25">C79-D79-E79-F79</f>
        <v>23476960.122611467</v>
      </c>
      <c r="H79" s="61">
        <f>D79+E79+F79-(Supuestos!$B$19*$B$6+Supuestos!$B$20*$F$6)*(1+Supuestos!$B$8)^(A79-1)</f>
        <v>6070288.6339885378</v>
      </c>
      <c r="I79" s="61">
        <f>IF(A79&lt;=Supuestos!$J$29,$K$76*(1-Supuestos!$B$11)^A79*Supuestos!$I$29*(1+Supuestos!$B$9)^(A79-1),0)</f>
        <v>2994951.9137259861</v>
      </c>
      <c r="J79" s="61">
        <f>E79*Supuestos!$K$29</f>
        <v>126149.98342911756</v>
      </c>
      <c r="K79" s="61">
        <f>D79-I79+E79-J79+F79-IF(A79&lt;=Supuestos!$J$29,0,Supuestos!$B$19*$B$6*(1+Supuestos!$B$8)^(A79-1))</f>
        <v>3353681.2868334334</v>
      </c>
      <c r="L79" s="61">
        <f>I79+J79-IF(A79&lt;=Supuestos!$J$29,(Supuestos!$B$19*$B$6+Supuestos!$B$20*$F$6),Supuestos!$B$20*$F$6)*(1+Supuestos!$B$8)^(A79-1)</f>
        <v>2716607.3471551039</v>
      </c>
    </row>
    <row r="80" spans="1:12" x14ac:dyDescent="0.3">
      <c r="A80" s="12">
        <v>2</v>
      </c>
      <c r="B80" s="59" t="str">
        <f>IF(A80&lt;=(Supuestos!$B$22-Supuestos!$B$24),"Autoabasto","CFE pleno")</f>
        <v>Autoabasto</v>
      </c>
      <c r="C80" s="61">
        <f>IF(A80&lt;=(Supuestos!$B$22-Supuestos!$B$24),$B$12,$B$10)*(1+Supuestos!$B$8)^A80</f>
        <v>31748847.904996004</v>
      </c>
      <c r="D80" s="61">
        <f>IF(A80&lt;=(Supuestos!$B$22-Supuestos!$B$24),$C$76,$E$76)*(1+Supuestos!$B$8)^A80*(1-Supuestos!$B$11)^A80</f>
        <v>4644337.1088944906</v>
      </c>
      <c r="E80" s="61">
        <f>$G$76*(1+Supuestos!$B$8)^A80*(1-Supuestos!$B$12)^A80*Supuestos!$B$10</f>
        <v>264094.99030885764</v>
      </c>
      <c r="F80" s="61">
        <f>$I$76*(1+Supuestos!$B$8)^A80</f>
        <v>1928156.7238320003</v>
      </c>
      <c r="G80" s="61">
        <f t="shared" si="25"/>
        <v>24912259.081960656</v>
      </c>
      <c r="H80" s="61">
        <f>D80+E80+F80-(Supuestos!$B$19*$B$6+Supuestos!$B$20*$F$6)*(1+Supuestos!$B$8)^(A80-1)</f>
        <v>6407824.600035348</v>
      </c>
      <c r="I80" s="61">
        <f>IF(A80&lt;=Supuestos!$J$29,$K$76*(1-Supuestos!$B$11)^A80*Supuestos!$I$29*(1+Supuestos!$B$9)^(A80-1),0)</f>
        <v>3128976.0118652247</v>
      </c>
      <c r="J80" s="61">
        <f>E80*Supuestos!$K$29</f>
        <v>132047.49515442882</v>
      </c>
      <c r="K80" s="61">
        <f>D80-I80+E80-J80+F80-IF(A80&lt;=Supuestos!$J$29,0,Supuestos!$B$19*$B$6*(1+Supuestos!$B$8)^(A80-1))</f>
        <v>3575565.3160156952</v>
      </c>
      <c r="L80" s="61">
        <f>I80+J80-IF(A80&lt;=Supuestos!$J$29,(Supuestos!$B$19*$B$6+Supuestos!$B$20*$F$6),Supuestos!$B$20*$F$6)*(1+Supuestos!$B$8)^(A80-1)</f>
        <v>2832259.2840196537</v>
      </c>
    </row>
    <row r="81" spans="1:12" x14ac:dyDescent="0.3">
      <c r="A81" s="12">
        <v>3</v>
      </c>
      <c r="B81" s="59" t="str">
        <f>IF(A81&lt;=(Supuestos!$B$22-Supuestos!$B$24),"Autoabasto","CFE pleno")</f>
        <v>Autoabasto</v>
      </c>
      <c r="C81" s="61">
        <f>IF(A81&lt;=(Supuestos!$B$22-Supuestos!$B$24),$B$12,$B$10)*(1+Supuestos!$B$8)^A81</f>
        <v>33653778.779295765</v>
      </c>
      <c r="D81" s="61">
        <f>IF(A81&lt;=(Supuestos!$B$22-Supuestos!$B$24),$C$76,$E$76)*(1+Supuestos!$B$8)^A81*(1-Supuestos!$B$11)^A81</f>
        <v>4898382.3487510197</v>
      </c>
      <c r="E81" s="61">
        <f>$G$76*(1+Supuestos!$B$8)^A81*(1-Supuestos!$B$12)^A81*Supuestos!$B$10</f>
        <v>276441.43110579677</v>
      </c>
      <c r="F81" s="61">
        <f>$I$76*(1+Supuestos!$B$8)^A81</f>
        <v>2043846.1272619206</v>
      </c>
      <c r="G81" s="61">
        <f t="shared" si="25"/>
        <v>26435108.872177027</v>
      </c>
      <c r="H81" s="61">
        <f>D81+E81+F81-(Supuestos!$B$19*$B$6+Supuestos!$B$20*$F$6)*(1+Supuestos!$B$8)^(A81-1)</f>
        <v>6764179.8307387372</v>
      </c>
      <c r="I81" s="61">
        <f>IF(A81&lt;=Supuestos!$J$29,$K$76*(1-Supuestos!$B$11)^A81*Supuestos!$I$29*(1+Supuestos!$B$9)^(A81-1),0)</f>
        <v>3268997.6883961931</v>
      </c>
      <c r="J81" s="61">
        <f>E81*Supuestos!$K$29</f>
        <v>138220.71555289839</v>
      </c>
      <c r="K81" s="61">
        <f>D81-I81+E81-J81+F81-IF(A81&lt;=Supuestos!$J$29,0,Supuestos!$B$19*$B$6*(1+Supuestos!$B$8)^(A81-1))</f>
        <v>3811451.5031696456</v>
      </c>
      <c r="L81" s="61">
        <f>I81+J81-IF(A81&lt;=Supuestos!$J$29,(Supuestos!$B$19*$B$6+Supuestos!$B$20*$F$6),Supuestos!$B$20*$F$6)*(1+Supuestos!$B$8)^(A81-1)</f>
        <v>2952728.3275690917</v>
      </c>
    </row>
    <row r="82" spans="1:12" x14ac:dyDescent="0.3">
      <c r="A82" s="12">
        <v>4</v>
      </c>
      <c r="B82" s="59" t="str">
        <f>IF(A82&lt;=(Supuestos!$B$22-Supuestos!$B$24),"Autoabasto","CFE pleno")</f>
        <v>Autoabasto</v>
      </c>
      <c r="C82" s="61">
        <f>IF(A82&lt;=(Supuestos!$B$22-Supuestos!$B$24),$B$12,$B$10)*(1+Supuestos!$B$8)^A82</f>
        <v>35673005.506053515</v>
      </c>
      <c r="D82" s="61">
        <f>IF(A82&lt;=(Supuestos!$B$22-Supuestos!$B$24),$C$76,$E$76)*(1+Supuestos!$B$8)^A82*(1-Supuestos!$B$11)^A82</f>
        <v>5166323.8632277008</v>
      </c>
      <c r="E82" s="61">
        <f>$G$76*(1+Supuestos!$B$8)^A82*(1-Supuestos!$B$12)^A82*Supuestos!$B$10</f>
        <v>289365.06800999277</v>
      </c>
      <c r="F82" s="61">
        <f>$I$76*(1+Supuestos!$B$8)^A82</f>
        <v>2166476.894897636</v>
      </c>
      <c r="G82" s="61">
        <f t="shared" si="25"/>
        <v>28050839.679918185</v>
      </c>
      <c r="H82" s="61">
        <f>D82+E82+F82-(Supuestos!$B$19*$B$6+Supuestos!$B$20*$F$6)*(1+Supuestos!$B$8)^(A82-1)</f>
        <v>7140406.34517253</v>
      </c>
      <c r="I82" s="61">
        <f>IF(A82&lt;=Supuestos!$J$29,$K$76*(1-Supuestos!$B$11)^A82*Supuestos!$I$29*(1+Supuestos!$B$9)^(A82-1),0)</f>
        <v>3415285.3349519232</v>
      </c>
      <c r="J82" s="61">
        <f>E82*Supuestos!$K$29</f>
        <v>144682.53400499639</v>
      </c>
      <c r="K82" s="61">
        <f>D82-I82+E82-J82+F82-IF(A82&lt;=Supuestos!$J$29,0,Supuestos!$B$19*$B$6*(1+Supuestos!$B$8)^(A82-1))</f>
        <v>4062197.9571784101</v>
      </c>
      <c r="L82" s="61">
        <f>I82+J82-IF(A82&lt;=Supuestos!$J$29,(Supuestos!$B$19*$B$6+Supuestos!$B$20*$F$6),Supuestos!$B$20*$F$6)*(1+Supuestos!$B$8)^(A82-1)</f>
        <v>3078208.3879941199</v>
      </c>
    </row>
    <row r="83" spans="1:12" x14ac:dyDescent="0.3">
      <c r="A83" s="12">
        <v>5</v>
      </c>
      <c r="B83" s="59" t="str">
        <f>IF(A83&lt;=(Supuestos!$B$22-Supuestos!$B$24),"Autoabasto","CFE pleno")</f>
        <v>Autoabasto</v>
      </c>
      <c r="C83" s="61">
        <f>IF(A83&lt;=(Supuestos!$B$22-Supuestos!$B$24),$B$12,$B$10)*(1+Supuestos!$B$8)^A83</f>
        <v>37813385.836416729</v>
      </c>
      <c r="D83" s="61">
        <f>IF(A83&lt;=(Supuestos!$B$22-Supuestos!$B$24),$C$76,$E$76)*(1+Supuestos!$B$8)^A83*(1-Supuestos!$B$11)^A83</f>
        <v>5448921.7785462569</v>
      </c>
      <c r="E83" s="61">
        <f>$G$76*(1+Supuestos!$B$8)^A83*(1-Supuestos!$B$12)^A83*Supuestos!$B$10</f>
        <v>302892.88493945997</v>
      </c>
      <c r="F83" s="61">
        <f>$I$76*(1+Supuestos!$B$8)^A83</f>
        <v>2296465.5085914945</v>
      </c>
      <c r="G83" s="61">
        <f t="shared" si="25"/>
        <v>29765105.664339516</v>
      </c>
      <c r="H83" s="61">
        <f>D83+E83+F83-(Supuestos!$B$19*$B$6+Supuestos!$B$20*$F$6)*(1+Supuestos!$B$8)^(A83-1)</f>
        <v>7537615.1222566431</v>
      </c>
      <c r="I83" s="61">
        <f>IF(A83&lt;=Supuestos!$J$29,$K$76*(1-Supuestos!$B$11)^A83*Supuestos!$I$29*(1+Supuestos!$B$9)^(A83-1),0)</f>
        <v>3568119.3536910219</v>
      </c>
      <c r="J83" s="61">
        <f>E83*Supuestos!$K$29</f>
        <v>151446.44246972998</v>
      </c>
      <c r="K83" s="61">
        <f>D83-I83+E83-J83+F83-IF(A83&lt;=Supuestos!$J$29,0,Supuestos!$B$19*$B$6*(1+Supuestos!$B$8)^(A83-1))</f>
        <v>4328714.3759164596</v>
      </c>
      <c r="L83" s="61">
        <f>I83+J83-IF(A83&lt;=Supuestos!$J$29,(Supuestos!$B$19*$B$6+Supuestos!$B$20*$F$6),Supuestos!$B$20*$F$6)*(1+Supuestos!$B$8)^(A83-1)</f>
        <v>3208900.746340184</v>
      </c>
    </row>
    <row r="84" spans="1:12" x14ac:dyDescent="0.3">
      <c r="A84" s="12">
        <v>6</v>
      </c>
      <c r="B84" s="59" t="str">
        <f>IF(A84&lt;=(Supuestos!$B$22-Supuestos!$B$24),"Autoabasto","CFE pleno")</f>
        <v>Autoabasto</v>
      </c>
      <c r="C84" s="61">
        <f>IF(A84&lt;=(Supuestos!$B$22-Supuestos!$B$24),$B$12,$B$10)*(1+Supuestos!$B$8)^A84</f>
        <v>40082188.986601733</v>
      </c>
      <c r="D84" s="61">
        <f>IF(A84&lt;=(Supuestos!$B$22-Supuestos!$B$24),$C$76,$E$76)*(1+Supuestos!$B$8)^A84*(1-Supuestos!$B$11)^A84</f>
        <v>5746977.799832738</v>
      </c>
      <c r="E84" s="61">
        <f>$G$76*(1+Supuestos!$B$8)^A84*(1-Supuestos!$B$12)^A84*Supuestos!$B$10</f>
        <v>317053.12731037976</v>
      </c>
      <c r="F84" s="61">
        <f>$I$76*(1+Supuestos!$B$8)^A84</f>
        <v>2434253.4391069841</v>
      </c>
      <c r="G84" s="61">
        <f t="shared" si="25"/>
        <v>31583904.620351627</v>
      </c>
      <c r="H84" s="61">
        <f>D84+E84+F84-(Supuestos!$B$19*$B$6+Supuestos!$B$20*$F$6)*(1+Supuestos!$B$8)^(A84-1)</f>
        <v>7956979.4134402992</v>
      </c>
      <c r="I84" s="61">
        <f>IF(A84&lt;=Supuestos!$J$29,$K$76*(1-Supuestos!$B$11)^A84*Supuestos!$I$29*(1+Supuestos!$B$9)^(A84-1),0)</f>
        <v>3727792.6947686956</v>
      </c>
      <c r="J84" s="61">
        <f>E84*Supuestos!$K$29</f>
        <v>158526.56365518988</v>
      </c>
      <c r="K84" s="61">
        <f>D84-I84+E84-J84+F84-IF(A84&lt;=Supuestos!$J$29,0,Supuestos!$B$19*$B$6*(1+Supuestos!$B$8)^(A84-1))</f>
        <v>4611965.1078262161</v>
      </c>
      <c r="L84" s="61">
        <f>I84+J84-IF(A84&lt;=Supuestos!$J$29,(Supuestos!$B$19*$B$6+Supuestos!$B$20*$F$6),Supuestos!$B$20*$F$6)*(1+Supuestos!$B$8)^(A84-1)</f>
        <v>3345014.3056140831</v>
      </c>
    </row>
    <row r="85" spans="1:12" x14ac:dyDescent="0.3">
      <c r="A85" s="12">
        <v>7</v>
      </c>
      <c r="B85" s="59" t="str">
        <f>IF(A85&lt;=(Supuestos!$B$22-Supuestos!$B$24),"Autoabasto","CFE pleno")</f>
        <v>CFE pleno</v>
      </c>
      <c r="C85" s="61">
        <f>IF(A85&lt;=(Supuestos!$B$22-Supuestos!$B$24),$B$12,$B$10)*(1+Supuestos!$B$8)^A85</f>
        <v>42487120.325797841</v>
      </c>
      <c r="D85" s="61">
        <f>IF(A85&lt;=(Supuestos!$B$22-Supuestos!$B$24),$C$76,$E$76)*(1+Supuestos!$B$8)^A85*(1-Supuestos!$B$11)^A85</f>
        <v>6061337.4854835887</v>
      </c>
      <c r="E85" s="61">
        <f>$G$76*(1+Supuestos!$B$8)^A85*(1-Supuestos!$B$12)^A85*Supuestos!$B$10</f>
        <v>331875.36101214006</v>
      </c>
      <c r="F85" s="61">
        <f>$I$76*(1+Supuestos!$B$8)^A85</f>
        <v>2580308.6454534032</v>
      </c>
      <c r="G85" s="61">
        <f t="shared" si="25"/>
        <v>33513598.833848711</v>
      </c>
      <c r="H85" s="61">
        <f>D85+E85+F85-(Supuestos!$B$19*$B$6+Supuestos!$B$20*$F$6)*(1+Supuestos!$B$8)^(A85-1)</f>
        <v>8399738.2419707421</v>
      </c>
      <c r="I85" s="61">
        <f>IF(A85&lt;=Supuestos!$J$29,$K$76*(1-Supuestos!$B$11)^A85*Supuestos!$I$29*(1+Supuestos!$B$9)^(A85-1),0)</f>
        <v>3894611.4178595943</v>
      </c>
      <c r="J85" s="61">
        <f>E85*Supuestos!$K$29</f>
        <v>165937.68050607003</v>
      </c>
      <c r="K85" s="61">
        <f>D85-I85+E85-J85+F85-IF(A85&lt;=Supuestos!$J$29,0,Supuestos!$B$19*$B$6*(1+Supuestos!$B$8)^(A85-1))</f>
        <v>4912972.3935834672</v>
      </c>
      <c r="L85" s="61">
        <f>I85+J85-IF(A85&lt;=Supuestos!$J$29,(Supuestos!$B$19*$B$6+Supuestos!$B$20*$F$6),Supuestos!$B$20*$F$6)*(1+Supuestos!$B$8)^(A85-1)</f>
        <v>3486765.848387274</v>
      </c>
    </row>
    <row r="86" spans="1:12" x14ac:dyDescent="0.3">
      <c r="A86" s="12">
        <v>8</v>
      </c>
      <c r="B86" s="59" t="str">
        <f>IF(A86&lt;=(Supuestos!$B$22-Supuestos!$B$24),"Autoabasto","CFE pleno")</f>
        <v>CFE pleno</v>
      </c>
      <c r="C86" s="61">
        <f>IF(A86&lt;=(Supuestos!$B$22-Supuestos!$B$24),$B$12,$B$10)*(1+Supuestos!$B$8)^A86</f>
        <v>45036347.545345709</v>
      </c>
      <c r="D86" s="61">
        <f>IF(A86&lt;=(Supuestos!$B$22-Supuestos!$B$24),$C$76,$E$76)*(1+Supuestos!$B$8)^A86*(1-Supuestos!$B$11)^A86</f>
        <v>6392892.645939541</v>
      </c>
      <c r="E86" s="61">
        <f>$G$76*(1+Supuestos!$B$8)^A86*(1-Supuestos!$B$12)^A86*Supuestos!$B$10</f>
        <v>347390.53413945757</v>
      </c>
      <c r="F86" s="61">
        <f>$I$76*(1+Supuestos!$B$8)^A86</f>
        <v>2735127.1641806075</v>
      </c>
      <c r="G86" s="61">
        <f t="shared" si="25"/>
        <v>35560937.201086104</v>
      </c>
      <c r="H86" s="61">
        <f>D86+E86+F86-(Supuestos!$B$19*$B$6+Supuestos!$B$20*$F$6)*(1+Supuestos!$B$8)^(A86-1)</f>
        <v>8867200.0992825106</v>
      </c>
      <c r="I86" s="61">
        <f>IF(A86&lt;=Supuestos!$J$29,$K$76*(1-Supuestos!$B$11)^A86*Supuestos!$I$29*(1+Supuestos!$B$9)^(A86-1),0)</f>
        <v>4068895.2788088112</v>
      </c>
      <c r="J86" s="61">
        <f>E86*Supuestos!$K$29</f>
        <v>173695.26706972878</v>
      </c>
      <c r="K86" s="61">
        <f>D86-I86+E86-J86+F86-IF(A86&lt;=Supuestos!$J$29,0,Supuestos!$B$19*$B$6*(1+Supuestos!$B$8)^(A86-1))</f>
        <v>5232819.7983810659</v>
      </c>
      <c r="L86" s="61">
        <f>I86+J86-IF(A86&lt;=Supuestos!$J$29,(Supuestos!$B$19*$B$6+Supuestos!$B$20*$F$6),Supuestos!$B$20*$F$6)*(1+Supuestos!$B$8)^(A86-1)</f>
        <v>3634380.300901446</v>
      </c>
    </row>
    <row r="87" spans="1:12" x14ac:dyDescent="0.3">
      <c r="A87" s="12">
        <v>9</v>
      </c>
      <c r="B87" s="59" t="str">
        <f>IF(A87&lt;=(Supuestos!$B$22-Supuestos!$B$24),"Autoabasto","CFE pleno")</f>
        <v>CFE pleno</v>
      </c>
      <c r="C87" s="61">
        <f>IF(A87&lt;=(Supuestos!$B$22-Supuestos!$B$24),$B$12,$B$10)*(1+Supuestos!$B$8)^A87</f>
        <v>47738528.398066454</v>
      </c>
      <c r="D87" s="61">
        <f>IF(A87&lt;=(Supuestos!$B$22-Supuestos!$B$24),$C$76,$E$76)*(1+Supuestos!$B$8)^A87*(1-Supuestos!$B$11)^A87</f>
        <v>6742583.8736724332</v>
      </c>
      <c r="E87" s="61">
        <f>$G$76*(1+Supuestos!$B$8)^A87*(1-Supuestos!$B$12)^A87*Supuestos!$B$10</f>
        <v>363631.0416104772</v>
      </c>
      <c r="F87" s="61">
        <f>$I$76*(1+Supuestos!$B$8)^A87</f>
        <v>2899234.794031444</v>
      </c>
      <c r="G87" s="61">
        <f t="shared" si="25"/>
        <v>37733078.6887521</v>
      </c>
      <c r="H87" s="61">
        <f>D87+E87+F87-(Supuestos!$B$19*$B$6+Supuestos!$B$20*$F$6)*(1+Supuestos!$B$8)^(A87-1)</f>
        <v>9360746.8496386334</v>
      </c>
      <c r="I87" s="61">
        <f>IF(A87&lt;=Supuestos!$J$29,$K$76*(1-Supuestos!$B$11)^A87*Supuestos!$I$29*(1+Supuestos!$B$9)^(A87-1),0)</f>
        <v>4250978.3425355051</v>
      </c>
      <c r="J87" s="61">
        <f>E87*Supuestos!$K$29</f>
        <v>181815.5208052386</v>
      </c>
      <c r="K87" s="61">
        <f>D87-I87+E87-J87+F87-IF(A87&lt;=Supuestos!$J$29,0,Supuestos!$B$19*$B$6*(1+Supuestos!$B$8)^(A87-1))</f>
        <v>5572655.8459736109</v>
      </c>
      <c r="L87" s="61">
        <f>I87+J87-IF(A87&lt;=Supuestos!$J$29,(Supuestos!$B$19*$B$6+Supuestos!$B$20*$F$6),Supuestos!$B$20*$F$6)*(1+Supuestos!$B$8)^(A87-1)</f>
        <v>3788091.0036650244</v>
      </c>
    </row>
    <row r="88" spans="1:12" x14ac:dyDescent="0.3">
      <c r="A88" s="12">
        <v>10</v>
      </c>
      <c r="B88" s="59" t="str">
        <f>IF(A88&lt;=(Supuestos!$B$22-Supuestos!$B$24),"Autoabasto","CFE pleno")</f>
        <v>CFE pleno</v>
      </c>
      <c r="C88" s="61">
        <f>IF(A88&lt;=(Supuestos!$B$22-Supuestos!$B$24),$B$12,$B$10)*(1+Supuestos!$B$8)^A88</f>
        <v>50602840.101950444</v>
      </c>
      <c r="D88" s="61">
        <f>IF(A88&lt;=(Supuestos!$B$22-Supuestos!$B$24),$C$76,$E$76)*(1+Supuestos!$B$8)^A88*(1-Supuestos!$B$11)^A88</f>
        <v>7111403.2115623159</v>
      </c>
      <c r="E88" s="61">
        <f>$G$76*(1+Supuestos!$B$8)^A88*(1-Supuestos!$B$12)^A88*Supuestos!$B$10</f>
        <v>380630.79280576709</v>
      </c>
      <c r="F88" s="61">
        <f>$I$76*(1+Supuestos!$B$8)^A88</f>
        <v>3073188.8816733309</v>
      </c>
      <c r="G88" s="61">
        <f t="shared" si="25"/>
        <v>40037617.215909034</v>
      </c>
      <c r="H88" s="61">
        <f>D88+E88+F88-(Supuestos!$B$19*$B$6+Supuestos!$B$20*$F$6)*(1+Supuestos!$B$8)^(A88-1)</f>
        <v>9881837.8547851518</v>
      </c>
      <c r="I88" s="61">
        <f>IF(A88&lt;=Supuestos!$J$29,$K$76*(1-Supuestos!$B$11)^A88*Supuestos!$I$29*(1+Supuestos!$B$9)^(A88-1),0)</f>
        <v>4441209.6233639689</v>
      </c>
      <c r="J88" s="61">
        <f>E88*Supuestos!$K$29</f>
        <v>190315.39640288355</v>
      </c>
      <c r="K88" s="61">
        <f>D88-I88+E88-J88+F88-IF(A88&lt;=Supuestos!$J$29,0,Supuestos!$B$19*$B$6*(1+Supuestos!$B$8)^(A88-1))</f>
        <v>5933697.8662745617</v>
      </c>
      <c r="L88" s="61">
        <f>I88+J88-IF(A88&lt;=Supuestos!$J$29,(Supuestos!$B$19*$B$6+Supuestos!$B$20*$F$6),Supuestos!$B$20*$F$6)*(1+Supuestos!$B$8)^(A88-1)</f>
        <v>3948139.9885105896</v>
      </c>
    </row>
    <row r="89" spans="1:12" x14ac:dyDescent="0.3">
      <c r="A89" s="12">
        <v>11</v>
      </c>
      <c r="B89" s="59" t="str">
        <f>IF(A89&lt;=(Supuestos!$B$22-Supuestos!$B$24),"Autoabasto","CFE pleno")</f>
        <v>CFE pleno</v>
      </c>
      <c r="C89" s="61">
        <f>IF(A89&lt;=(Supuestos!$B$22-Supuestos!$B$24),$B$12,$B$10)*(1+Supuestos!$B$8)^A89</f>
        <v>53639010.508067481</v>
      </c>
      <c r="D89" s="61">
        <f>IF(A89&lt;=(Supuestos!$B$22-Supuestos!$B$24),$C$76,$E$76)*(1+Supuestos!$B$8)^A89*(1-Supuestos!$B$11)^A89</f>
        <v>7500396.9672347764</v>
      </c>
      <c r="E89" s="61">
        <f>$G$76*(1+Supuestos!$B$8)^A89*(1-Supuestos!$B$12)^A89*Supuestos!$B$10</f>
        <v>398425.2823694367</v>
      </c>
      <c r="F89" s="61">
        <f>$I$76*(1+Supuestos!$B$8)^A89</f>
        <v>3257580.2145737312</v>
      </c>
      <c r="G89" s="61">
        <f t="shared" si="25"/>
        <v>42482608.043889537</v>
      </c>
      <c r="H89" s="61">
        <f>D89+E89+F89-(Supuestos!$B$19*$B$6+Supuestos!$B$20*$F$6)*(1+Supuestos!$B$8)^(A89-1)</f>
        <v>10432014.331046306</v>
      </c>
      <c r="I89" s="61">
        <f>IF(A89&lt;=Supuestos!$J$29,$K$76*(1-Supuestos!$B$11)^A89*Supuestos!$I$29*(1+Supuestos!$B$9)^(A89-1),0)</f>
        <v>4639953.7540095067</v>
      </c>
      <c r="J89" s="61">
        <f>E89*Supuestos!$K$29</f>
        <v>199212.64118471835</v>
      </c>
      <c r="K89" s="61">
        <f>D89-I89+E89-J89+F89-IF(A89&lt;=Supuestos!$J$29,0,Supuestos!$B$19*$B$6*(1+Supuestos!$B$8)^(A89-1))</f>
        <v>6317236.0689837188</v>
      </c>
      <c r="L89" s="61">
        <f>I89+J89-IF(A89&lt;=Supuestos!$J$29,(Supuestos!$B$19*$B$6+Supuestos!$B$20*$F$6),Supuestos!$B$20*$F$6)*(1+Supuestos!$B$8)^(A89-1)</f>
        <v>4114778.2620625864</v>
      </c>
    </row>
    <row r="90" spans="1:12" x14ac:dyDescent="0.3">
      <c r="A90" s="12">
        <v>12</v>
      </c>
      <c r="B90" s="59" t="str">
        <f>IF(A90&lt;=(Supuestos!$B$22-Supuestos!$B$24),"Autoabasto","CFE pleno")</f>
        <v>CFE pleno</v>
      </c>
      <c r="C90" s="61">
        <f>IF(A90&lt;=(Supuestos!$B$22-Supuestos!$B$24),$B$12,$B$10)*(1+Supuestos!$B$8)^A90</f>
        <v>56857351.138551533</v>
      </c>
      <c r="D90" s="61">
        <f>IF(A90&lt;=(Supuestos!$B$22-Supuestos!$B$24),$C$76,$E$76)*(1+Supuestos!$B$8)^A90*(1-Supuestos!$B$11)^A90</f>
        <v>7910668.6813425189</v>
      </c>
      <c r="E90" s="61">
        <f>$G$76*(1+Supuestos!$B$8)^A90*(1-Supuestos!$B$12)^A90*Supuestos!$B$10</f>
        <v>417051.66432020802</v>
      </c>
      <c r="F90" s="61">
        <f>$I$76*(1+Supuestos!$B$8)^A90</f>
        <v>3453035.027448155</v>
      </c>
      <c r="G90" s="61">
        <f t="shared" si="25"/>
        <v>45076595.76544065</v>
      </c>
      <c r="H90" s="61">
        <f>D90+E90+F90-(Supuestos!$B$19*$B$6+Supuestos!$B$20*$F$6)*(1+Supuestos!$B$8)^(A90-1)</f>
        <v>11012903.951991346</v>
      </c>
      <c r="I90" s="61">
        <f>IF(A90&lt;=Supuestos!$J$29,$K$76*(1-Supuestos!$B$11)^A90*Supuestos!$I$29*(1+Supuestos!$B$9)^(A90-1),0)</f>
        <v>4847591.6845014328</v>
      </c>
      <c r="J90" s="61">
        <f>E90*Supuestos!$K$29</f>
        <v>208525.83216010401</v>
      </c>
      <c r="K90" s="61">
        <f>D90-I90+E90-J90+F90-IF(A90&lt;=Supuestos!$J$29,0,Supuestos!$B$19*$B$6*(1+Supuestos!$B$8)^(A90-1))</f>
        <v>6724637.8564493451</v>
      </c>
      <c r="L90" s="61">
        <f>I90+J90-IF(A90&lt;=Supuestos!$J$29,(Supuestos!$B$19*$B$6+Supuestos!$B$20*$F$6),Supuestos!$B$20*$F$6)*(1+Supuestos!$B$8)^(A90-1)</f>
        <v>4288266.0955419997</v>
      </c>
    </row>
    <row r="91" spans="1:12" x14ac:dyDescent="0.3">
      <c r="A91" s="12">
        <v>13</v>
      </c>
      <c r="B91" s="59" t="str">
        <f>IF(A91&lt;=(Supuestos!$B$22-Supuestos!$B$24),"Autoabasto","CFE pleno")</f>
        <v>CFE pleno</v>
      </c>
      <c r="C91" s="61">
        <f>IF(A91&lt;=(Supuestos!$B$22-Supuestos!$B$24),$B$12,$B$10)*(1+Supuestos!$B$8)^A91</f>
        <v>60268792.206864633</v>
      </c>
      <c r="D91" s="61">
        <f>IF(A91&lt;=(Supuestos!$B$22-Supuestos!$B$24),$C$76,$E$76)*(1+Supuestos!$B$8)^A91*(1-Supuestos!$B$11)^A91</f>
        <v>8343382.2582119573</v>
      </c>
      <c r="E91" s="61">
        <f>$G$76*(1+Supuestos!$B$8)^A91*(1-Supuestos!$B$12)^A91*Supuestos!$B$10</f>
        <v>436548.82962717779</v>
      </c>
      <c r="F91" s="61">
        <f>$I$76*(1+Supuestos!$B$8)^A91</f>
        <v>3660217.1290950449</v>
      </c>
      <c r="G91" s="61">
        <f t="shared" si="25"/>
        <v>47828643.989930451</v>
      </c>
      <c r="H91" s="61">
        <f>D91+E91+F91-(Supuestos!$B$19*$B$6+Supuestos!$B$20*$F$6)*(1+Supuestos!$B$8)^(A91-1)</f>
        <v>11626225.710547473</v>
      </c>
      <c r="I91" s="61">
        <f>IF(A91&lt;=Supuestos!$J$29,$K$76*(1-Supuestos!$B$11)^A91*Supuestos!$I$29*(1+Supuestos!$B$9)^(A91-1),0)</f>
        <v>5064521.4123828718</v>
      </c>
      <c r="J91" s="61">
        <f>E91*Supuestos!$K$29</f>
        <v>218274.4148135889</v>
      </c>
      <c r="K91" s="61">
        <f>D91-I91+E91-J91+F91-IF(A91&lt;=Supuestos!$J$29,0,Supuestos!$B$19*$B$6*(1+Supuestos!$B$8)^(A91-1))</f>
        <v>7157352.3897377197</v>
      </c>
      <c r="L91" s="61">
        <f>I91+J91-IF(A91&lt;=Supuestos!$J$29,(Supuestos!$B$19*$B$6+Supuestos!$B$20*$F$6),Supuestos!$B$20*$F$6)*(1+Supuestos!$B$8)^(A91-1)</f>
        <v>4468873.3208097517</v>
      </c>
    </row>
    <row r="92" spans="1:12" x14ac:dyDescent="0.3">
      <c r="A92" s="12">
        <v>14</v>
      </c>
      <c r="B92" s="59" t="str">
        <f>IF(A92&lt;=(Supuestos!$B$22-Supuestos!$B$24),"Autoabasto","CFE pleno")</f>
        <v>CFE pleno</v>
      </c>
      <c r="C92" s="61">
        <f>IF(A92&lt;=(Supuestos!$B$22-Supuestos!$B$24),$B$12,$B$10)*(1+Supuestos!$B$8)^A92</f>
        <v>63884919.739276506</v>
      </c>
      <c r="D92" s="61">
        <f>IF(A92&lt;=(Supuestos!$B$22-Supuestos!$B$24),$C$76,$E$76)*(1+Supuestos!$B$8)^A92*(1-Supuestos!$B$11)^A92</f>
        <v>8799765.2677361518</v>
      </c>
      <c r="E92" s="61">
        <f>$G$76*(1+Supuestos!$B$8)^A92*(1-Supuestos!$B$12)^A92*Supuestos!$B$10</f>
        <v>456957.48741224839</v>
      </c>
      <c r="F92" s="61">
        <f>$I$76*(1+Supuestos!$B$8)^A92</f>
        <v>3879830.1568407472</v>
      </c>
      <c r="G92" s="61">
        <f t="shared" si="25"/>
        <v>50748366.827287354</v>
      </c>
      <c r="H92" s="61">
        <f>D92+E92+F92-(Supuestos!$B$19*$B$6+Supuestos!$B$20*$F$6)*(1+Supuestos!$B$8)^(A92-1)</f>
        <v>12273795.055219235</v>
      </c>
      <c r="I92" s="61">
        <f>IF(A92&lt;=Supuestos!$J$29,$K$76*(1-Supuestos!$B$11)^A92*Supuestos!$I$29*(1+Supuestos!$B$9)^(A92-1),0)</f>
        <v>5291158.7455870062</v>
      </c>
      <c r="J92" s="61">
        <f>E92*Supuestos!$K$29</f>
        <v>228478.74370612419</v>
      </c>
      <c r="K92" s="61">
        <f>D92-I92+E92-J92+F92-IF(A92&lt;=Supuestos!$J$29,0,Supuestos!$B$19*$B$6*(1+Supuestos!$B$8)^(A92-1))</f>
        <v>7616915.4226960167</v>
      </c>
      <c r="L92" s="61">
        <f>I92+J92-IF(A92&lt;=Supuestos!$J$29,(Supuestos!$B$19*$B$6+Supuestos!$B$20*$F$6),Supuestos!$B$20*$F$6)*(1+Supuestos!$B$8)^(A92-1)</f>
        <v>4656879.6325232182</v>
      </c>
    </row>
    <row r="93" spans="1:12" x14ac:dyDescent="0.3">
      <c r="A93" s="12">
        <v>15</v>
      </c>
      <c r="B93" s="59" t="str">
        <f>IF(A93&lt;=(Supuestos!$B$22-Supuestos!$B$24),"Autoabasto","CFE pleno")</f>
        <v>CFE pleno</v>
      </c>
      <c r="C93" s="61">
        <f>IF(A93&lt;=(Supuestos!$B$22-Supuestos!$B$24),$B$12,$B$10)*(1+Supuestos!$B$8)^A93</f>
        <v>67718014.923633114</v>
      </c>
      <c r="D93" s="61">
        <f>IF(A93&lt;=(Supuestos!$B$22-Supuestos!$B$24),$C$76,$E$76)*(1+Supuestos!$B$8)^A93*(1-Supuestos!$B$11)^A93</f>
        <v>9281112.4278813209</v>
      </c>
      <c r="E93" s="61">
        <f>$G$76*(1+Supuestos!$B$8)^A93*(1-Supuestos!$B$12)^A93*Supuestos!$B$10</f>
        <v>478320.24994877109</v>
      </c>
      <c r="F93" s="61">
        <f>$I$76*(1+Supuestos!$B$8)^A93</f>
        <v>4112619.9662511935</v>
      </c>
      <c r="G93" s="61">
        <f t="shared" si="25"/>
        <v>53845962.279551826</v>
      </c>
      <c r="H93" s="61">
        <f>D93+E93+F93-(Supuestos!$B$19*$B$6+Supuestos!$B$20*$F$6)*(1+Supuestos!$B$8)^(A93-1)</f>
        <v>12957529.31590518</v>
      </c>
      <c r="I93" s="61">
        <f>IF(A93&lt;=Supuestos!$J$29,$K$76*(1-Supuestos!$B$11)^A93*Supuestos!$I$29*(1+Supuestos!$B$9)^(A93-1),0)</f>
        <v>5527938.0994520225</v>
      </c>
      <c r="J93" s="61">
        <f>E93*Supuestos!$K$29</f>
        <v>239160.12497438554</v>
      </c>
      <c r="K93" s="61">
        <f>D93-I93+E93-J93+F93-IF(A93&lt;=Supuestos!$J$29,0,Supuestos!$B$19*$B$6*(1+Supuestos!$B$8)^(A93-1))</f>
        <v>8104954.4196548779</v>
      </c>
      <c r="L93" s="61">
        <f>I93+J93-IF(A93&lt;=Supuestos!$J$29,(Supuestos!$B$19*$B$6+Supuestos!$B$20*$F$6),Supuestos!$B$20*$F$6)*(1+Supuestos!$B$8)^(A93-1)</f>
        <v>4852574.896250302</v>
      </c>
    </row>
    <row r="94" spans="1:12" x14ac:dyDescent="0.3">
      <c r="A94" s="12">
        <v>16</v>
      </c>
      <c r="B94" s="59" t="str">
        <f>IF(A94&lt;=(Supuestos!$B$22-Supuestos!$B$24),"Autoabasto","CFE pleno")</f>
        <v>CFE pleno</v>
      </c>
      <c r="C94" s="61">
        <f>IF(A94&lt;=(Supuestos!$B$22-Supuestos!$B$24),$B$12,$B$10)*(1+Supuestos!$B$8)^A94</f>
        <v>71781095.819051087</v>
      </c>
      <c r="D94" s="61">
        <f>IF(A94&lt;=(Supuestos!$B$22-Supuestos!$B$24),$C$76,$E$76)*(1+Supuestos!$B$8)^A94*(1-Supuestos!$B$11)^A94</f>
        <v>9788789.2776864246</v>
      </c>
      <c r="E94" s="61">
        <f>$G$76*(1+Supuestos!$B$8)^A94*(1-Supuestos!$B$12)^A94*Supuestos!$B$10</f>
        <v>500681.72163387603</v>
      </c>
      <c r="F94" s="61">
        <f>$I$76*(1+Supuestos!$B$8)^A94</f>
        <v>4359377.1642262638</v>
      </c>
      <c r="G94" s="61">
        <f t="shared" si="25"/>
        <v>57132247.655504525</v>
      </c>
      <c r="H94" s="61">
        <f>D94+E94+F94-(Supuestos!$B$19*$B$6+Supuestos!$B$20*$F$6)*(1+Supuestos!$B$8)^(A94-1)</f>
        <v>13679453.43567989</v>
      </c>
      <c r="I94" s="61">
        <f>IF(A94&lt;=Supuestos!$J$29,$K$76*(1-Supuestos!$B$11)^A94*Supuestos!$I$29*(1+Supuestos!$B$9)^(A94-1),0)</f>
        <v>0</v>
      </c>
      <c r="J94" s="61">
        <f>E94*Supuestos!$K$29</f>
        <v>250340.86081693802</v>
      </c>
      <c r="K94" s="61">
        <f>D94-I94+E94-J94+F94-IF(A94&lt;=Supuestos!$J$29,0,Supuestos!$B$19*$B$6*(1+Supuestos!$B$8)^(A94-1))</f>
        <v>13640489.007494345</v>
      </c>
      <c r="L94" s="61">
        <f>I94+J94-IF(A94&lt;=Supuestos!$J$29,(Supuestos!$B$19*$B$6+Supuestos!$B$20*$F$6),Supuestos!$B$20*$F$6)*(1+Supuestos!$B$8)^(A94-1)</f>
        <v>38964.428185545141</v>
      </c>
    </row>
    <row r="95" spans="1:12" x14ac:dyDescent="0.3">
      <c r="A95" s="12">
        <v>17</v>
      </c>
      <c r="B95" s="59" t="str">
        <f>IF(A95&lt;=(Supuestos!$B$22-Supuestos!$B$24),"Autoabasto","CFE pleno")</f>
        <v>CFE pleno</v>
      </c>
      <c r="C95" s="61">
        <f>IF(A95&lt;=(Supuestos!$B$22-Supuestos!$B$24),$B$12,$B$10)*(1+Supuestos!$B$8)^A95</f>
        <v>76087961.568194151</v>
      </c>
      <c r="D95" s="61">
        <f>IF(A95&lt;=(Supuestos!$B$22-Supuestos!$B$24),$C$76,$E$76)*(1+Supuestos!$B$8)^A95*(1-Supuestos!$B$11)^A95</f>
        <v>10324236.051175874</v>
      </c>
      <c r="E95" s="61">
        <f>$G$76*(1+Supuestos!$B$8)^A95*(1-Supuestos!$B$12)^A95*Supuestos!$B$10</f>
        <v>524088.59212025977</v>
      </c>
      <c r="F95" s="61">
        <f>$I$76*(1+Supuestos!$B$8)^A95</f>
        <v>4620939.7940798402</v>
      </c>
      <c r="G95" s="61">
        <f t="shared" si="25"/>
        <v>60618697.130818173</v>
      </c>
      <c r="H95" s="61">
        <f>D95+E95+F95-(Supuestos!$B$19*$B$6+Supuestos!$B$20*$F$6)*(1+Supuestos!$B$8)^(A95-1)</f>
        <v>14441706.0258373</v>
      </c>
      <c r="I95" s="61">
        <f>IF(A95&lt;=Supuestos!$J$29,$K$76*(1-Supuestos!$B$11)^A95*Supuestos!$I$29*(1+Supuestos!$B$9)^(A95-1),0)</f>
        <v>0</v>
      </c>
      <c r="J95" s="61">
        <f>E95*Supuestos!$K$29</f>
        <v>262044.29606012988</v>
      </c>
      <c r="K95" s="61">
        <f>D95-I95+E95-J95+F95-IF(A95&lt;=Supuestos!$J$29,0,Supuestos!$B$19*$B$6*(1+Supuestos!$B$8)^(A95-1))</f>
        <v>14403720.748366447</v>
      </c>
      <c r="L95" s="61">
        <f>I95+J95-IF(A95&lt;=Supuestos!$J$29,(Supuestos!$B$19*$B$6+Supuestos!$B$20*$F$6),Supuestos!$B$20*$F$6)*(1+Supuestos!$B$8)^(A95-1)</f>
        <v>37985.2774708535</v>
      </c>
    </row>
    <row r="96" spans="1:12" x14ac:dyDescent="0.3">
      <c r="A96" s="12">
        <v>18</v>
      </c>
      <c r="B96" s="59" t="str">
        <f>IF(A96&lt;=(Supuestos!$B$22-Supuestos!$B$24),"Autoabasto","CFE pleno")</f>
        <v>CFE pleno</v>
      </c>
      <c r="C96" s="61">
        <f>IF(A96&lt;=(Supuestos!$B$22-Supuestos!$B$24),$B$12,$B$10)*(1+Supuestos!$B$8)^A96</f>
        <v>80653239.262285799</v>
      </c>
      <c r="D96" s="61">
        <f>IF(A96&lt;=(Supuestos!$B$22-Supuestos!$B$24),$C$76,$E$76)*(1+Supuestos!$B$8)^A96*(1-Supuestos!$B$11)^A96</f>
        <v>10888971.763175193</v>
      </c>
      <c r="E96" s="61">
        <f>$G$76*(1+Supuestos!$B$8)^A96*(1-Supuestos!$B$12)^A96*Supuestos!$B$10</f>
        <v>548589.7338018819</v>
      </c>
      <c r="F96" s="61">
        <f>$I$76*(1+Supuestos!$B$8)^A96</f>
        <v>4898196.1817246303</v>
      </c>
      <c r="G96" s="61">
        <f t="shared" si="25"/>
        <v>64317481.583584093</v>
      </c>
      <c r="H96" s="61">
        <f>D96+E96+F96-(Supuestos!$B$19*$B$6+Supuestos!$B$20*$F$6)*(1+Supuestos!$B$8)^(A96-1)</f>
        <v>15246545.762470713</v>
      </c>
      <c r="I96" s="61">
        <f>IF(A96&lt;=Supuestos!$J$29,$K$76*(1-Supuestos!$B$11)^A96*Supuestos!$I$29*(1+Supuestos!$B$9)^(A96-1),0)</f>
        <v>0</v>
      </c>
      <c r="J96" s="61">
        <f>E96*Supuestos!$K$29</f>
        <v>274294.86690094095</v>
      </c>
      <c r="K96" s="61">
        <f>D96-I96+E96-J96+F96-IF(A96&lt;=Supuestos!$J$29,0,Supuestos!$B$19*$B$6*(1+Supuestos!$B$8)^(A96-1))</f>
        <v>15209753.455274403</v>
      </c>
      <c r="L96" s="61">
        <f>I96+J96-IF(A96&lt;=Supuestos!$J$29,(Supuestos!$B$19*$B$6+Supuestos!$B$20*$F$6),Supuestos!$B$20*$F$6)*(1+Supuestos!$B$8)^(A96-1)</f>
        <v>36792.307196307956</v>
      </c>
    </row>
    <row r="97" spans="1:12" x14ac:dyDescent="0.3">
      <c r="A97" s="12">
        <v>19</v>
      </c>
      <c r="B97" s="59" t="str">
        <f>IF(A97&lt;=(Supuestos!$B$22-Supuestos!$B$24),"Autoabasto","CFE pleno")</f>
        <v>CFE pleno</v>
      </c>
      <c r="C97" s="61">
        <f>IF(A97&lt;=(Supuestos!$B$22-Supuestos!$B$24),$B$12,$B$10)*(1+Supuestos!$B$8)^A97</f>
        <v>85492433.618022963</v>
      </c>
      <c r="D97" s="61">
        <f>IF(A97&lt;=(Supuestos!$B$22-Supuestos!$B$24),$C$76,$E$76)*(1+Supuestos!$B$8)^A97*(1-Supuestos!$B$11)^A97</f>
        <v>11484598.518620878</v>
      </c>
      <c r="E97" s="61">
        <f>$G$76*(1+Supuestos!$B$8)^A97*(1-Supuestos!$B$12)^A97*Supuestos!$B$10</f>
        <v>574236.30385711999</v>
      </c>
      <c r="F97" s="61">
        <f>$I$76*(1+Supuestos!$B$8)^A97</f>
        <v>5192087.9526281087</v>
      </c>
      <c r="G97" s="61">
        <f t="shared" si="25"/>
        <v>68241510.842916861</v>
      </c>
      <c r="H97" s="61">
        <f>D97+E97+F97-(Supuestos!$B$19*$B$6+Supuestos!$B$20*$F$6)*(1+Supuestos!$B$8)^(A97-1)</f>
        <v>16096358.143901253</v>
      </c>
      <c r="I97" s="61">
        <f>IF(A97&lt;=Supuestos!$J$29,$K$76*(1-Supuestos!$B$11)^A97*Supuestos!$I$29*(1+Supuestos!$B$9)^(A97-1),0)</f>
        <v>0</v>
      </c>
      <c r="J97" s="61">
        <f>E97*Supuestos!$K$29</f>
        <v>287118.15192855999</v>
      </c>
      <c r="K97" s="61">
        <f>D97-I97+E97-J97+F97-IF(A97&lt;=Supuestos!$J$29,0,Supuestos!$B$19*$B$6*(1+Supuestos!$B$8)^(A97-1))</f>
        <v>16060992.705259604</v>
      </c>
      <c r="L97" s="61">
        <f>I97+J97-IF(A97&lt;=Supuestos!$J$29,(Supuestos!$B$19*$B$6+Supuestos!$B$20*$F$6),Supuestos!$B$20*$F$6)*(1+Supuestos!$B$8)^(A97-1)</f>
        <v>35365.438641649031</v>
      </c>
    </row>
    <row r="98" spans="1:12" x14ac:dyDescent="0.3">
      <c r="A98" s="12">
        <v>20</v>
      </c>
      <c r="B98" s="59" t="str">
        <f>IF(A98&lt;=(Supuestos!$B$22-Supuestos!$B$24),"Autoabasto","CFE pleno")</f>
        <v>CFE pleno</v>
      </c>
      <c r="C98" s="61">
        <f>IF(A98&lt;=(Supuestos!$B$22-Supuestos!$B$24),$B$12,$B$10)*(1+Supuestos!$B$8)^A98</f>
        <v>90621979.635104343</v>
      </c>
      <c r="D98" s="61">
        <f>IF(A98&lt;=(Supuestos!$B$22-Supuestos!$B$24),$C$76,$E$76)*(1+Supuestos!$B$8)^A98*(1-Supuestos!$B$11)^A98</f>
        <v>12112806.057589442</v>
      </c>
      <c r="E98" s="61">
        <f>$G$76*(1+Supuestos!$B$8)^A98*(1-Supuestos!$B$12)^A98*Supuestos!$B$10</f>
        <v>601081.85106244031</v>
      </c>
      <c r="F98" s="61">
        <f>$I$76*(1+Supuestos!$B$8)^A98</f>
        <v>5503613.2297857953</v>
      </c>
      <c r="G98" s="61">
        <f t="shared" si="25"/>
        <v>72404478.496666655</v>
      </c>
      <c r="H98" s="61">
        <f>D98+E98+F98-(Supuestos!$B$19*$B$6+Supuestos!$B$20*$F$6)*(1+Supuestos!$B$8)^(A98-1)</f>
        <v>16993662.629360534</v>
      </c>
      <c r="I98" s="61">
        <f>IF(A98&lt;=Supuestos!$J$29,$K$76*(1-Supuestos!$B$11)^A98*Supuestos!$I$29*(1+Supuestos!$B$9)^(A98-1),0)</f>
        <v>0</v>
      </c>
      <c r="J98" s="61">
        <f>E98*Supuestos!$K$29</f>
        <v>300540.92553122016</v>
      </c>
      <c r="K98" s="61">
        <f>D98-I98+E98-J98+F98-IF(A98&lt;=Supuestos!$J$29,0,Supuestos!$B$19*$B$6*(1+Supuestos!$B$8)^(A98-1))</f>
        <v>16959979.579913437</v>
      </c>
      <c r="L98" s="61">
        <f>I98+J98-IF(A98&lt;=Supuestos!$J$29,(Supuestos!$B$19*$B$6+Supuestos!$B$20*$F$6),Supuestos!$B$20*$F$6)*(1+Supuestos!$B$8)^(A98-1)</f>
        <v>33683.049447094498</v>
      </c>
    </row>
    <row r="99" spans="1:12" x14ac:dyDescent="0.3">
      <c r="A99" s="69" t="s">
        <v>212</v>
      </c>
      <c r="H99" s="73">
        <f>SUM(H79:H98)</f>
        <v>213147011.35326838</v>
      </c>
      <c r="K99" s="73">
        <f>SUM(K79:K98)</f>
        <v>157591753.10498247</v>
      </c>
      <c r="L99" s="73">
        <f>SUM(L79:L98)</f>
        <v>55555258.248285882</v>
      </c>
    </row>
    <row r="100" spans="1:12" x14ac:dyDescent="0.3">
      <c r="F100" s="69" t="s">
        <v>213</v>
      </c>
      <c r="G100" s="74">
        <f>IRR(H78:H98)</f>
        <v>0.43092558578671358</v>
      </c>
      <c r="I100" s="69" t="s">
        <v>214</v>
      </c>
      <c r="K100" s="75">
        <f>NPV(Supuestos!$B$7,H79:H98)+H78</f>
        <v>49306389.424504235</v>
      </c>
    </row>
    <row r="101" spans="1:12" x14ac:dyDescent="0.3">
      <c r="F101" s="69" t="s">
        <v>215</v>
      </c>
      <c r="G101" s="74">
        <f>IRR(L78:L98)</f>
        <v>0.18679136760305681</v>
      </c>
      <c r="I101" s="69" t="s">
        <v>216</v>
      </c>
      <c r="K101" s="75">
        <f>NPV(Supuestos!$B$7,K79:K98)+K78</f>
        <v>42333386.52242928</v>
      </c>
    </row>
    <row r="102" spans="1:12" x14ac:dyDescent="0.3">
      <c r="A102" s="63" t="s">
        <v>217</v>
      </c>
    </row>
    <row r="104" spans="1:12" ht="18" customHeight="1" x14ac:dyDescent="0.3">
      <c r="A104" s="3" t="s">
        <v>218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x14ac:dyDescent="0.3">
      <c r="A105" s="34" t="s">
        <v>219</v>
      </c>
      <c r="B105" s="34" t="s">
        <v>220</v>
      </c>
      <c r="C105" s="34" t="s">
        <v>221</v>
      </c>
    </row>
    <row r="106" spans="1:12" x14ac:dyDescent="0.3">
      <c r="A106" s="23" t="s">
        <v>222</v>
      </c>
      <c r="B106" s="76">
        <f>B26+B25+D25</f>
        <v>16137624.5625</v>
      </c>
      <c r="C106" s="76">
        <v>0</v>
      </c>
      <c r="D106" s="5" t="s">
        <v>223</v>
      </c>
    </row>
    <row r="107" spans="1:12" x14ac:dyDescent="0.3">
      <c r="A107" s="23" t="s">
        <v>224</v>
      </c>
      <c r="B107" s="76">
        <f>H79</f>
        <v>6070288.6339885378</v>
      </c>
      <c r="C107" s="76">
        <f>K79</f>
        <v>3353681.2868334334</v>
      </c>
    </row>
    <row r="108" spans="1:12" x14ac:dyDescent="0.3">
      <c r="A108" s="23" t="s">
        <v>225</v>
      </c>
      <c r="B108" s="76">
        <f>H99</f>
        <v>213147011.35326838</v>
      </c>
      <c r="C108" s="76">
        <f>SUM(K79:K98)</f>
        <v>157591753.10498247</v>
      </c>
    </row>
    <row r="109" spans="1:12" x14ac:dyDescent="0.3">
      <c r="A109" s="23" t="s">
        <v>226</v>
      </c>
      <c r="B109" s="77">
        <f>G100</f>
        <v>0.43092558578671358</v>
      </c>
      <c r="C109" s="77">
        <f>G101</f>
        <v>0.18679136760305681</v>
      </c>
    </row>
    <row r="110" spans="1:12" x14ac:dyDescent="0.3">
      <c r="A110" s="23" t="s">
        <v>227</v>
      </c>
      <c r="B110" s="78" t="s">
        <v>228</v>
      </c>
      <c r="C110" s="15">
        <f>Supuestos!$I$29</f>
        <v>1.5781000000000001</v>
      </c>
    </row>
    <row r="111" spans="1:12" x14ac:dyDescent="0.3">
      <c r="A111" s="23" t="s">
        <v>229</v>
      </c>
      <c r="C111" s="79">
        <f>Supuestos!$J$29</f>
        <v>15</v>
      </c>
    </row>
    <row r="113" spans="1:12" ht="18" customHeight="1" x14ac:dyDescent="0.3">
      <c r="A113" s="3" t="s">
        <v>230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ht="15" customHeight="1" x14ac:dyDescent="0.3">
      <c r="A114" s="100" t="s">
        <v>240</v>
      </c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</row>
    <row r="115" spans="1:12" x14ac:dyDescent="0.3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</row>
    <row r="116" spans="1:12" x14ac:dyDescent="0.3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</row>
    <row r="117" spans="1:12" x14ac:dyDescent="0.3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</row>
    <row r="118" spans="1:12" x14ac:dyDescent="0.3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</row>
    <row r="119" spans="1:12" x14ac:dyDescent="0.3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</row>
  </sheetData>
  <mergeCells count="1">
    <mergeCell ref="A114:L1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19"/>
  <sheetViews>
    <sheetView showGridLines="0" zoomScaleNormal="100" workbookViewId="0">
      <pane ySplit="3" topLeftCell="A80" activePane="bottomLeft" state="frozen"/>
      <selection pane="bottomLeft"/>
    </sheetView>
  </sheetViews>
  <sheetFormatPr defaultColWidth="8.6640625" defaultRowHeight="14.4" x14ac:dyDescent="0.3"/>
  <cols>
    <col min="1" max="1" width="34" customWidth="1"/>
    <col min="2" max="18" width="12" customWidth="1"/>
  </cols>
  <sheetData>
    <row r="1" spans="1:12" ht="16.8" x14ac:dyDescent="0.3">
      <c r="A1" s="20" t="s">
        <v>241</v>
      </c>
    </row>
    <row r="2" spans="1:12" x14ac:dyDescent="0.3">
      <c r="A2" s="5" t="s">
        <v>242</v>
      </c>
    </row>
    <row r="3" spans="1:12" x14ac:dyDescent="0.3">
      <c r="A3" s="29" t="s">
        <v>234</v>
      </c>
    </row>
    <row r="5" spans="1:12" ht="18" customHeight="1" x14ac:dyDescent="0.3">
      <c r="A5" s="3" t="s">
        <v>102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3">
      <c r="A6" s="10" t="s">
        <v>85</v>
      </c>
      <c r="B6" s="30">
        <f>Supuestos!$B$30</f>
        <v>839.41</v>
      </c>
      <c r="C6" s="10" t="s">
        <v>86</v>
      </c>
      <c r="D6" s="30">
        <f>Supuestos!$C$30</f>
        <v>0</v>
      </c>
      <c r="E6" s="10" t="s">
        <v>87</v>
      </c>
      <c r="F6" s="30">
        <f>Supuestos!$D$30</f>
        <v>0</v>
      </c>
      <c r="G6" s="23" t="s">
        <v>103</v>
      </c>
      <c r="H6" s="31">
        <f>Supuestos!$D$30*Supuestos!$B$17*SQRT(Supuestos!$B$18)</f>
        <v>0</v>
      </c>
      <c r="I6" s="10" t="s">
        <v>104</v>
      </c>
      <c r="J6" s="32" t="str">
        <f>Supuestos!$E$30</f>
        <v>Sí</v>
      </c>
      <c r="K6" s="5" t="s">
        <v>105</v>
      </c>
      <c r="L6" s="33">
        <f>$B$10/(SUM(P45:P56)+SUM(R30:R41))</f>
        <v>1.0739549532558808</v>
      </c>
    </row>
    <row r="8" spans="1:12" ht="18" customHeight="1" x14ac:dyDescent="0.3">
      <c r="A8" s="3" t="s">
        <v>106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3">
      <c r="A9" s="34" t="s">
        <v>107</v>
      </c>
      <c r="B9" s="34" t="s">
        <v>108</v>
      </c>
      <c r="C9" s="34" t="s">
        <v>109</v>
      </c>
      <c r="D9" s="34" t="s">
        <v>110</v>
      </c>
      <c r="E9" s="34" t="s">
        <v>111</v>
      </c>
    </row>
    <row r="10" spans="1:12" x14ac:dyDescent="0.3">
      <c r="A10" s="10" t="s">
        <v>112</v>
      </c>
      <c r="B10" s="35">
        <v>15994316.800000001</v>
      </c>
      <c r="C10" s="36">
        <f>B10/D10</f>
        <v>3.3656430914989</v>
      </c>
      <c r="D10" s="31">
        <v>4752232</v>
      </c>
      <c r="E10" s="5" t="s">
        <v>113</v>
      </c>
    </row>
    <row r="11" spans="1:12" x14ac:dyDescent="0.3">
      <c r="A11" s="23" t="s">
        <v>235</v>
      </c>
      <c r="B11" s="37">
        <v>0</v>
      </c>
      <c r="E11" s="5" t="s">
        <v>236</v>
      </c>
    </row>
    <row r="12" spans="1:12" x14ac:dyDescent="0.3">
      <c r="A12" s="38" t="s">
        <v>116</v>
      </c>
      <c r="B12" s="39">
        <f>B10-B11</f>
        <v>15994316.800000001</v>
      </c>
      <c r="C12" s="40">
        <f>B12/D12</f>
        <v>3.3656430914989</v>
      </c>
      <c r="D12" s="41">
        <f>D10</f>
        <v>4752232</v>
      </c>
      <c r="E12" s="42"/>
    </row>
    <row r="13" spans="1:12" x14ac:dyDescent="0.3">
      <c r="A13" s="5" t="s">
        <v>117</v>
      </c>
      <c r="B13" s="43">
        <v>15994316.800000001</v>
      </c>
      <c r="C13" s="33">
        <f>B13/D13</f>
        <v>3.3656430914989</v>
      </c>
      <c r="D13" s="44">
        <v>4752232</v>
      </c>
    </row>
    <row r="14" spans="1:12" x14ac:dyDescent="0.3">
      <c r="A14" s="5" t="s">
        <v>237</v>
      </c>
    </row>
    <row r="16" spans="1:12" x14ac:dyDescent="0.3">
      <c r="A16" s="45" t="s">
        <v>119</v>
      </c>
    </row>
    <row r="17" spans="1:18" x14ac:dyDescent="0.3">
      <c r="A17" s="23" t="s">
        <v>120</v>
      </c>
      <c r="B17" s="37">
        <f>F72</f>
        <v>3734035.8928673672</v>
      </c>
      <c r="D17" s="31">
        <f>C72</f>
        <v>1258947.1179999998</v>
      </c>
      <c r="E17" s="5" t="s">
        <v>121</v>
      </c>
    </row>
    <row r="18" spans="1:18" x14ac:dyDescent="0.3">
      <c r="A18" s="23" t="s">
        <v>122</v>
      </c>
      <c r="B18" s="37">
        <f>G72</f>
        <v>0</v>
      </c>
    </row>
    <row r="19" spans="1:18" x14ac:dyDescent="0.3">
      <c r="A19" s="23" t="s">
        <v>123</v>
      </c>
      <c r="B19" s="37">
        <f>H72</f>
        <v>597755.97</v>
      </c>
      <c r="E19" s="5" t="s">
        <v>238</v>
      </c>
    </row>
    <row r="20" spans="1:18" x14ac:dyDescent="0.3">
      <c r="A20" s="46" t="s">
        <v>125</v>
      </c>
      <c r="B20" s="35">
        <f>B12-B17-B18-B19</f>
        <v>11662524.937132632</v>
      </c>
      <c r="C20" s="47"/>
      <c r="D20" s="47"/>
      <c r="E20" s="47"/>
    </row>
    <row r="21" spans="1:18" x14ac:dyDescent="0.3">
      <c r="A21" s="48" t="s">
        <v>126</v>
      </c>
      <c r="B21" s="49">
        <f>B17+B18+B19</f>
        <v>4331791.8628673675</v>
      </c>
      <c r="C21" s="50">
        <f>B21/B12</f>
        <v>0.2708331913787882</v>
      </c>
    </row>
    <row r="22" spans="1:18" x14ac:dyDescent="0.3">
      <c r="A22" s="48" t="s">
        <v>127</v>
      </c>
      <c r="B22" s="49">
        <f>B10-B20</f>
        <v>4331791.8628673684</v>
      </c>
      <c r="C22" s="50">
        <f>B22/B10</f>
        <v>0.27083319137878825</v>
      </c>
    </row>
    <row r="24" spans="1:18" ht="18" customHeight="1" x14ac:dyDescent="0.3">
      <c r="A24" s="3" t="s">
        <v>128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8" x14ac:dyDescent="0.3">
      <c r="A25" s="23" t="s">
        <v>129</v>
      </c>
      <c r="B25" s="37">
        <f>$B$6*1000*Supuestos!$F$30*Supuestos!$B$5</f>
        <v>11048734.125</v>
      </c>
      <c r="C25" s="23" t="s">
        <v>130</v>
      </c>
      <c r="D25" s="37">
        <f>$F$6*Supuestos!$G$30*Supuestos!$B$5</f>
        <v>0</v>
      </c>
    </row>
    <row r="26" spans="1:18" x14ac:dyDescent="0.3">
      <c r="A26" s="23" t="s">
        <v>131</v>
      </c>
      <c r="B26" s="51">
        <f>Supuestos!$H$30</f>
        <v>250000</v>
      </c>
      <c r="C26" s="10" t="s">
        <v>132</v>
      </c>
      <c r="D26" s="35">
        <f>B25+D25+B26</f>
        <v>11298734.125</v>
      </c>
      <c r="E26" s="2" t="s">
        <v>133</v>
      </c>
    </row>
    <row r="28" spans="1:18" ht="18" customHeight="1" x14ac:dyDescent="0.3">
      <c r="A28" s="3" t="s">
        <v>134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ht="25.5" customHeight="1" x14ac:dyDescent="0.3">
      <c r="A29" s="52" t="s">
        <v>135</v>
      </c>
      <c r="B29" s="52" t="s">
        <v>136</v>
      </c>
      <c r="C29" s="52" t="s">
        <v>137</v>
      </c>
      <c r="D29" s="52" t="s">
        <v>138</v>
      </c>
      <c r="E29" s="52" t="s">
        <v>139</v>
      </c>
      <c r="F29" s="52" t="s">
        <v>140</v>
      </c>
      <c r="G29" s="52" t="s">
        <v>141</v>
      </c>
      <c r="H29" s="52" t="s">
        <v>142</v>
      </c>
      <c r="I29" s="52" t="s">
        <v>143</v>
      </c>
      <c r="J29" s="52" t="s">
        <v>144</v>
      </c>
      <c r="K29" s="52" t="s">
        <v>145</v>
      </c>
      <c r="L29" s="52" t="s">
        <v>146</v>
      </c>
      <c r="M29" s="52" t="s">
        <v>147</v>
      </c>
      <c r="N29" s="52" t="s">
        <v>148</v>
      </c>
      <c r="O29" s="52" t="s">
        <v>149</v>
      </c>
      <c r="P29" s="52" t="s">
        <v>150</v>
      </c>
      <c r="Q29" s="52" t="s">
        <v>151</v>
      </c>
      <c r="R29" s="52" t="s">
        <v>152</v>
      </c>
    </row>
    <row r="30" spans="1:18" x14ac:dyDescent="0.3">
      <c r="A30" s="53" t="s">
        <v>153</v>
      </c>
      <c r="B30" s="54">
        <v>111992</v>
      </c>
      <c r="C30" s="54">
        <v>217041</v>
      </c>
      <c r="D30" s="54">
        <v>61651</v>
      </c>
      <c r="E30" s="54">
        <v>31</v>
      </c>
      <c r="F30" s="54">
        <v>1043</v>
      </c>
      <c r="G30" s="54">
        <v>1075</v>
      </c>
      <c r="H30" s="55">
        <v>2.0804499999999999</v>
      </c>
      <c r="I30" s="55">
        <v>1.2357499999999999</v>
      </c>
      <c r="J30" s="55">
        <v>2.3215249999999998</v>
      </c>
      <c r="K30" s="54">
        <v>392.48500000000001</v>
      </c>
      <c r="L30" s="56">
        <v>91.87</v>
      </c>
      <c r="M30" s="54">
        <v>452.58</v>
      </c>
      <c r="N30" s="55">
        <v>116.3</v>
      </c>
      <c r="O30" s="57">
        <v>1</v>
      </c>
      <c r="P30" s="54">
        <v>4</v>
      </c>
      <c r="Q30" s="54">
        <v>22</v>
      </c>
      <c r="R30" s="58">
        <v>49039.23</v>
      </c>
    </row>
    <row r="31" spans="1:18" x14ac:dyDescent="0.3">
      <c r="A31" s="53" t="s">
        <v>154</v>
      </c>
      <c r="B31" s="54">
        <v>119044</v>
      </c>
      <c r="C31" s="54">
        <v>193524</v>
      </c>
      <c r="D31" s="54">
        <v>57902</v>
      </c>
      <c r="E31" s="54">
        <v>28</v>
      </c>
      <c r="F31" s="54">
        <v>1010</v>
      </c>
      <c r="G31" s="54">
        <v>1068</v>
      </c>
      <c r="H31" s="55">
        <v>2.0804499999999999</v>
      </c>
      <c r="I31" s="55">
        <v>1.2357499999999999</v>
      </c>
      <c r="J31" s="55">
        <v>2.3215249999999998</v>
      </c>
      <c r="K31" s="54">
        <v>392.48500000000001</v>
      </c>
      <c r="L31" s="56">
        <v>91.87</v>
      </c>
      <c r="M31" s="54">
        <v>452.58</v>
      </c>
      <c r="N31" s="55">
        <v>113.8</v>
      </c>
      <c r="O31" s="57">
        <v>1</v>
      </c>
      <c r="P31" s="54">
        <v>4</v>
      </c>
      <c r="Q31" s="54">
        <v>19</v>
      </c>
      <c r="R31" s="58">
        <v>45533.52</v>
      </c>
    </row>
    <row r="32" spans="1:18" x14ac:dyDescent="0.3">
      <c r="A32" s="53" t="s">
        <v>155</v>
      </c>
      <c r="B32" s="54">
        <v>143269</v>
      </c>
      <c r="C32" s="54">
        <v>218315</v>
      </c>
      <c r="D32" s="54">
        <v>57204</v>
      </c>
      <c r="E32" s="54">
        <v>31</v>
      </c>
      <c r="F32" s="54">
        <v>930</v>
      </c>
      <c r="G32" s="54">
        <v>995</v>
      </c>
      <c r="H32" s="55">
        <v>2.0804499999999999</v>
      </c>
      <c r="I32" s="55">
        <v>1.2357499999999999</v>
      </c>
      <c r="J32" s="55">
        <v>2.3215249999999998</v>
      </c>
      <c r="K32" s="54">
        <v>392.48500000000001</v>
      </c>
      <c r="L32" s="56">
        <v>91.87</v>
      </c>
      <c r="M32" s="54">
        <v>452.58</v>
      </c>
      <c r="N32" s="55">
        <v>140.6</v>
      </c>
      <c r="O32" s="57">
        <v>1</v>
      </c>
      <c r="P32" s="54">
        <v>4</v>
      </c>
      <c r="Q32" s="54">
        <v>20</v>
      </c>
      <c r="R32" s="58">
        <v>44271.61</v>
      </c>
    </row>
    <row r="33" spans="1:18" x14ac:dyDescent="0.3">
      <c r="A33" s="53" t="s">
        <v>156</v>
      </c>
      <c r="B33" s="54">
        <v>137235</v>
      </c>
      <c r="C33" s="54">
        <v>257107</v>
      </c>
      <c r="D33" s="54">
        <v>37859</v>
      </c>
      <c r="E33" s="54">
        <v>30</v>
      </c>
      <c r="F33" s="54">
        <v>934</v>
      </c>
      <c r="G33" s="54">
        <v>986</v>
      </c>
      <c r="H33" s="55">
        <v>2.0804499999999999</v>
      </c>
      <c r="I33" s="55">
        <v>1.2357499999999999</v>
      </c>
      <c r="J33" s="55">
        <v>2.3215249999999998</v>
      </c>
      <c r="K33" s="54">
        <v>392.48500000000001</v>
      </c>
      <c r="L33" s="56">
        <v>91.87</v>
      </c>
      <c r="M33" s="54">
        <v>452.58</v>
      </c>
      <c r="N33" s="55">
        <v>139.9</v>
      </c>
      <c r="O33" s="57">
        <v>1</v>
      </c>
      <c r="P33" s="54">
        <v>2</v>
      </c>
      <c r="Q33" s="54">
        <v>22</v>
      </c>
      <c r="R33" s="58">
        <v>47050.61</v>
      </c>
    </row>
    <row r="34" spans="1:18" x14ac:dyDescent="0.3">
      <c r="A34" s="53" t="s">
        <v>157</v>
      </c>
      <c r="B34" s="54">
        <v>131219</v>
      </c>
      <c r="C34" s="54">
        <v>271299</v>
      </c>
      <c r="D34" s="54">
        <v>30661</v>
      </c>
      <c r="E34" s="54">
        <v>31</v>
      </c>
      <c r="F34" s="54">
        <v>1094</v>
      </c>
      <c r="G34" s="54">
        <v>1130</v>
      </c>
      <c r="H34" s="55">
        <v>2.0804499999999999</v>
      </c>
      <c r="I34" s="55">
        <v>1.2357499999999999</v>
      </c>
      <c r="J34" s="55">
        <v>2.3215249999999998</v>
      </c>
      <c r="K34" s="54">
        <v>392.48500000000001</v>
      </c>
      <c r="L34" s="56">
        <v>91.87</v>
      </c>
      <c r="M34" s="54">
        <v>452.58</v>
      </c>
      <c r="N34" s="55">
        <v>139.6</v>
      </c>
      <c r="O34" s="57">
        <v>1</v>
      </c>
      <c r="P34" s="54">
        <v>2</v>
      </c>
      <c r="Q34" s="54">
        <v>21</v>
      </c>
      <c r="R34" s="58">
        <v>48308.02</v>
      </c>
    </row>
    <row r="35" spans="1:18" x14ac:dyDescent="0.3">
      <c r="A35" s="53" t="s">
        <v>158</v>
      </c>
      <c r="B35" s="54">
        <v>135885</v>
      </c>
      <c r="C35" s="54">
        <v>268040</v>
      </c>
      <c r="D35" s="54">
        <v>30139</v>
      </c>
      <c r="E35" s="54">
        <v>30</v>
      </c>
      <c r="F35" s="54">
        <v>1049</v>
      </c>
      <c r="G35" s="54">
        <v>1092</v>
      </c>
      <c r="H35" s="55">
        <v>2.0804499999999999</v>
      </c>
      <c r="I35" s="55">
        <v>1.2357499999999999</v>
      </c>
      <c r="J35" s="55">
        <v>2.3215249999999998</v>
      </c>
      <c r="K35" s="54">
        <v>392.48500000000001</v>
      </c>
      <c r="L35" s="56">
        <v>91.87</v>
      </c>
      <c r="M35" s="54">
        <v>452.58</v>
      </c>
      <c r="N35" s="55">
        <v>127.4</v>
      </c>
      <c r="O35" s="57">
        <v>1</v>
      </c>
      <c r="P35" s="54">
        <v>2</v>
      </c>
      <c r="Q35" s="54">
        <v>21</v>
      </c>
      <c r="R35" s="58">
        <v>55431.62</v>
      </c>
    </row>
    <row r="36" spans="1:18" x14ac:dyDescent="0.3">
      <c r="A36" s="53" t="s">
        <v>159</v>
      </c>
      <c r="B36" s="54">
        <v>101439</v>
      </c>
      <c r="C36" s="54">
        <v>274792</v>
      </c>
      <c r="D36" s="54">
        <v>34785</v>
      </c>
      <c r="E36" s="54">
        <v>31</v>
      </c>
      <c r="F36" s="54">
        <v>1092</v>
      </c>
      <c r="G36" s="54">
        <v>1103</v>
      </c>
      <c r="H36" s="55">
        <v>2.0804499999999999</v>
      </c>
      <c r="I36" s="55">
        <v>1.2357499999999999</v>
      </c>
      <c r="J36" s="55">
        <v>2.3215249999999998</v>
      </c>
      <c r="K36" s="54">
        <v>392.48500000000001</v>
      </c>
      <c r="L36" s="56">
        <v>91.87</v>
      </c>
      <c r="M36" s="54">
        <v>452.58</v>
      </c>
      <c r="N36" s="55">
        <v>131.19999999999999</v>
      </c>
      <c r="O36" s="57">
        <v>1</v>
      </c>
      <c r="P36" s="54">
        <v>2</v>
      </c>
      <c r="Q36" s="54">
        <v>23</v>
      </c>
      <c r="R36" s="58">
        <v>55104.56</v>
      </c>
    </row>
    <row r="37" spans="1:18" x14ac:dyDescent="0.3">
      <c r="A37" s="53" t="s">
        <v>160</v>
      </c>
      <c r="B37" s="54">
        <v>116365</v>
      </c>
      <c r="C37" s="54">
        <v>275738</v>
      </c>
      <c r="D37" s="54">
        <v>28280</v>
      </c>
      <c r="E37" s="54">
        <v>31</v>
      </c>
      <c r="F37" s="54">
        <v>1051</v>
      </c>
      <c r="G37" s="54">
        <v>1097</v>
      </c>
      <c r="H37" s="55">
        <v>2.0804499999999999</v>
      </c>
      <c r="I37" s="55">
        <v>1.2357499999999999</v>
      </c>
      <c r="J37" s="55">
        <v>2.3215249999999998</v>
      </c>
      <c r="K37" s="54">
        <v>392.48500000000001</v>
      </c>
      <c r="L37" s="56">
        <v>91.87</v>
      </c>
      <c r="M37" s="54">
        <v>452.58</v>
      </c>
      <c r="N37" s="55">
        <v>123.3</v>
      </c>
      <c r="O37" s="57">
        <v>1</v>
      </c>
      <c r="P37" s="54">
        <v>2</v>
      </c>
      <c r="Q37" s="54">
        <v>21</v>
      </c>
      <c r="R37" s="58">
        <v>53076.82</v>
      </c>
    </row>
    <row r="38" spans="1:18" x14ac:dyDescent="0.3">
      <c r="A38" s="53" t="s">
        <v>161</v>
      </c>
      <c r="B38" s="54">
        <v>100169</v>
      </c>
      <c r="C38" s="54">
        <v>231786</v>
      </c>
      <c r="D38" s="54">
        <v>26471</v>
      </c>
      <c r="E38" s="54">
        <v>30</v>
      </c>
      <c r="F38" s="54">
        <v>1014</v>
      </c>
      <c r="G38" s="54">
        <v>1066</v>
      </c>
      <c r="H38" s="55">
        <v>2.0804499999999999</v>
      </c>
      <c r="I38" s="55">
        <v>1.2357499999999999</v>
      </c>
      <c r="J38" s="55">
        <v>2.3215249999999998</v>
      </c>
      <c r="K38" s="54">
        <v>392.48500000000001</v>
      </c>
      <c r="L38" s="56">
        <v>91.87</v>
      </c>
      <c r="M38" s="54">
        <v>452.58</v>
      </c>
      <c r="N38" s="55">
        <v>118.3</v>
      </c>
      <c r="O38" s="57">
        <v>1</v>
      </c>
      <c r="P38" s="54">
        <v>2</v>
      </c>
      <c r="Q38" s="54">
        <v>21</v>
      </c>
      <c r="R38" s="58">
        <v>49101.31</v>
      </c>
    </row>
    <row r="39" spans="1:18" x14ac:dyDescent="0.3">
      <c r="A39" s="53" t="s">
        <v>162</v>
      </c>
      <c r="B39" s="54">
        <v>98572</v>
      </c>
      <c r="C39" s="54">
        <v>224586</v>
      </c>
      <c r="D39" s="54">
        <v>35922</v>
      </c>
      <c r="E39" s="54">
        <v>31</v>
      </c>
      <c r="F39" s="54">
        <v>913</v>
      </c>
      <c r="G39" s="54">
        <v>958</v>
      </c>
      <c r="H39" s="55">
        <v>2.0804499999999999</v>
      </c>
      <c r="I39" s="55">
        <v>1.2357499999999999</v>
      </c>
      <c r="J39" s="55">
        <v>2.3215249999999998</v>
      </c>
      <c r="K39" s="54">
        <v>392.48500000000001</v>
      </c>
      <c r="L39" s="56">
        <v>91.87</v>
      </c>
      <c r="M39" s="54">
        <v>452.58</v>
      </c>
      <c r="N39" s="55">
        <v>121.8</v>
      </c>
      <c r="O39" s="57">
        <v>1</v>
      </c>
      <c r="P39" s="54">
        <v>2</v>
      </c>
      <c r="Q39" s="54">
        <v>23</v>
      </c>
      <c r="R39" s="58">
        <v>53035.23</v>
      </c>
    </row>
    <row r="40" spans="1:18" x14ac:dyDescent="0.3">
      <c r="A40" s="53" t="s">
        <v>163</v>
      </c>
      <c r="B40" s="54">
        <v>94126</v>
      </c>
      <c r="C40" s="54">
        <v>183552</v>
      </c>
      <c r="D40" s="54">
        <v>53993</v>
      </c>
      <c r="E40" s="54">
        <v>30</v>
      </c>
      <c r="F40" s="54">
        <v>939</v>
      </c>
      <c r="G40" s="54">
        <v>968</v>
      </c>
      <c r="H40" s="55">
        <v>2.0804499999999999</v>
      </c>
      <c r="I40" s="55">
        <v>1.2357499999999999</v>
      </c>
      <c r="J40" s="55">
        <v>2.3215249999999998</v>
      </c>
      <c r="K40" s="54">
        <v>392.48500000000001</v>
      </c>
      <c r="L40" s="56">
        <v>91.87</v>
      </c>
      <c r="M40" s="54">
        <v>452.58</v>
      </c>
      <c r="N40" s="55">
        <v>115</v>
      </c>
      <c r="O40" s="57">
        <v>1</v>
      </c>
      <c r="P40" s="54">
        <v>4</v>
      </c>
      <c r="Q40" s="54">
        <v>19</v>
      </c>
      <c r="R40" s="58">
        <v>47771.27</v>
      </c>
    </row>
    <row r="41" spans="1:18" x14ac:dyDescent="0.3">
      <c r="A41" s="53" t="s">
        <v>164</v>
      </c>
      <c r="B41" s="54">
        <v>102510</v>
      </c>
      <c r="C41" s="54">
        <v>225061</v>
      </c>
      <c r="D41" s="54">
        <v>64699</v>
      </c>
      <c r="E41" s="54">
        <v>31</v>
      </c>
      <c r="F41" s="54">
        <v>960</v>
      </c>
      <c r="G41" s="54">
        <v>971</v>
      </c>
      <c r="H41" s="55">
        <v>2.0804499999999999</v>
      </c>
      <c r="I41" s="55">
        <v>1.2357499999999999</v>
      </c>
      <c r="J41" s="55">
        <v>2.3215249999999998</v>
      </c>
      <c r="K41" s="54">
        <v>392.48500000000001</v>
      </c>
      <c r="L41" s="56">
        <v>91.87</v>
      </c>
      <c r="M41" s="54">
        <v>452.58</v>
      </c>
      <c r="N41" s="55">
        <v>112.6</v>
      </c>
      <c r="O41" s="57">
        <v>1</v>
      </c>
      <c r="P41" s="54">
        <v>4</v>
      </c>
      <c r="Q41" s="54">
        <v>22</v>
      </c>
      <c r="R41" s="58">
        <v>50032.17</v>
      </c>
    </row>
    <row r="42" spans="1:18" ht="18" customHeight="1" x14ac:dyDescent="0.3">
      <c r="A42" s="3" t="s">
        <v>165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8" ht="25.5" customHeight="1" x14ac:dyDescent="0.3">
      <c r="A43" s="52" t="s">
        <v>135</v>
      </c>
      <c r="B43" s="52" t="s">
        <v>166</v>
      </c>
      <c r="C43" s="52" t="s">
        <v>167</v>
      </c>
      <c r="D43" s="52" t="s">
        <v>168</v>
      </c>
      <c r="E43" s="52" t="s">
        <v>169</v>
      </c>
      <c r="F43" s="52" t="s">
        <v>170</v>
      </c>
      <c r="G43" s="52" t="s">
        <v>171</v>
      </c>
      <c r="H43" s="52" t="s">
        <v>172</v>
      </c>
      <c r="I43" s="52" t="s">
        <v>173</v>
      </c>
      <c r="J43" s="52" t="s">
        <v>174</v>
      </c>
      <c r="K43" s="52" t="s">
        <v>175</v>
      </c>
      <c r="L43" s="52" t="s">
        <v>176</v>
      </c>
      <c r="M43" s="52" t="s">
        <v>177</v>
      </c>
      <c r="N43" s="52" t="s">
        <v>178</v>
      </c>
      <c r="O43" s="52" t="s">
        <v>179</v>
      </c>
      <c r="P43" s="52" t="s">
        <v>180</v>
      </c>
      <c r="Q43" s="52" t="s">
        <v>181</v>
      </c>
    </row>
    <row r="45" spans="1:18" x14ac:dyDescent="0.3">
      <c r="A45" s="59" t="str">
        <f t="shared" ref="A45:A56" si="0">A30</f>
        <v>Ene</v>
      </c>
      <c r="B45" s="60">
        <f t="shared" ref="B45:B56" si="1">$B$6*N30</f>
        <v>97623.382999999987</v>
      </c>
      <c r="C45" s="60">
        <f>(B30+C30+D30)/(E30*24*Supuestos!$B$16)</f>
        <v>921.25070741369552</v>
      </c>
      <c r="D45" s="60">
        <f t="shared" ref="D45:D56" si="2">MIN(B45*O30,C30)</f>
        <v>97623.382999999987</v>
      </c>
      <c r="E45" s="61">
        <f t="shared" ref="E45:E56" si="3">D45*H30*O45</f>
        <v>203100.56716234997</v>
      </c>
      <c r="F45" s="60">
        <f>((B30+C30+D30)-D45)/(E30*24*Supuestos!$B$16)</f>
        <v>691.05031362007173</v>
      </c>
      <c r="G45" s="60">
        <f t="shared" ref="G45:G56" si="4">MIN(F30,C45)</f>
        <v>921.25070741369552</v>
      </c>
      <c r="H45" s="60">
        <f t="shared" ref="H45:H56" si="5">MIN(F30,F45)</f>
        <v>691.05031362007173</v>
      </c>
      <c r="I45" s="61">
        <f t="shared" ref="I45:I56" si="6">(G45-H45)*K30</f>
        <v>90350.201558090441</v>
      </c>
      <c r="J45" s="60">
        <f t="shared" ref="J45:J56" si="7">IF(P30=0,0,MIN($D$6,$H$6/P30))</f>
        <v>0</v>
      </c>
      <c r="K45" s="60">
        <f t="shared" ref="K45:K56" si="8">MIN(MAX(F30-J45,0),F45)</f>
        <v>691.05031362007173</v>
      </c>
      <c r="L45" s="61">
        <f t="shared" ref="L45:L56" si="9">(H45-K45)*K30</f>
        <v>0</v>
      </c>
      <c r="M45" s="60">
        <f t="shared" ref="M45:M56" si="10">IF(P30=0,0,MIN($H$6*Q30,D30))</f>
        <v>0</v>
      </c>
      <c r="N45" s="61">
        <f>M45*J30-(M45/Supuestos!$B$18)*I30</f>
        <v>0</v>
      </c>
      <c r="O45" s="62">
        <v>1</v>
      </c>
      <c r="P45" s="61">
        <f t="shared" ref="P45:P56" si="11">M30+B30*I30+C30*H30+D30*J30+G45*K30+MIN(G30,C45)*L30</f>
        <v>1179726.3666143606</v>
      </c>
      <c r="Q45" s="61">
        <f t="shared" ref="Q45:Q56" si="12">(E45+I45)+(L45+N45)</f>
        <v>293450.76872044039</v>
      </c>
    </row>
    <row r="46" spans="1:18" x14ac:dyDescent="0.3">
      <c r="A46" s="59" t="str">
        <f t="shared" si="0"/>
        <v>Feb</v>
      </c>
      <c r="B46" s="60">
        <f t="shared" si="1"/>
        <v>95524.857999999993</v>
      </c>
      <c r="C46" s="60">
        <f>(B31+C31+D31)/(E31*24*Supuestos!$B$16)</f>
        <v>967.18358395989981</v>
      </c>
      <c r="D46" s="60">
        <f t="shared" si="2"/>
        <v>95524.857999999993</v>
      </c>
      <c r="E46" s="61">
        <f t="shared" si="3"/>
        <v>198734.69082609998</v>
      </c>
      <c r="F46" s="60">
        <f>((B31+C31+D31)-D46)/(E31*24*Supuestos!$B$16)</f>
        <v>717.79746762740194</v>
      </c>
      <c r="G46" s="60">
        <f t="shared" si="4"/>
        <v>967.18358395989981</v>
      </c>
      <c r="H46" s="60">
        <f t="shared" si="5"/>
        <v>717.79746762740194</v>
      </c>
      <c r="I46" s="61">
        <f t="shared" si="6"/>
        <v>97880.309868760422</v>
      </c>
      <c r="J46" s="60">
        <f t="shared" si="7"/>
        <v>0</v>
      </c>
      <c r="K46" s="60">
        <f t="shared" si="8"/>
        <v>717.79746762740194</v>
      </c>
      <c r="L46" s="61">
        <f t="shared" si="9"/>
        <v>0</v>
      </c>
      <c r="M46" s="60">
        <f t="shared" si="10"/>
        <v>0</v>
      </c>
      <c r="N46" s="61">
        <f>M46*J31-(M46/Supuestos!$B$18)*I31</f>
        <v>0</v>
      </c>
      <c r="O46" s="62">
        <v>1</v>
      </c>
      <c r="P46" s="61">
        <f t="shared" si="11"/>
        <v>1153059.3541588972</v>
      </c>
      <c r="Q46" s="61">
        <f t="shared" si="12"/>
        <v>296615.00069486041</v>
      </c>
    </row>
    <row r="47" spans="1:18" x14ac:dyDescent="0.3">
      <c r="A47" s="59" t="str">
        <f t="shared" si="0"/>
        <v>Mar</v>
      </c>
      <c r="B47" s="60">
        <f t="shared" si="1"/>
        <v>118021.04599999999</v>
      </c>
      <c r="C47" s="60">
        <f>(B32+C32+D32)/(E32*24*Supuestos!$B$16)</f>
        <v>987.5212224108659</v>
      </c>
      <c r="D47" s="60">
        <f t="shared" si="2"/>
        <v>118021.04599999999</v>
      </c>
      <c r="E47" s="61">
        <f t="shared" si="3"/>
        <v>245536.88515069996</v>
      </c>
      <c r="F47" s="60">
        <f>((B32+C32+D32)-D47)/(E32*24*Supuestos!$B$16)</f>
        <v>709.22220807394842</v>
      </c>
      <c r="G47" s="60">
        <f t="shared" si="4"/>
        <v>930</v>
      </c>
      <c r="H47" s="60">
        <f t="shared" si="5"/>
        <v>709.22220807394842</v>
      </c>
      <c r="I47" s="61">
        <f t="shared" si="6"/>
        <v>86651.97166409636</v>
      </c>
      <c r="J47" s="60">
        <f t="shared" si="7"/>
        <v>0</v>
      </c>
      <c r="K47" s="60">
        <f t="shared" si="8"/>
        <v>709.22220807394842</v>
      </c>
      <c r="L47" s="61">
        <f t="shared" si="9"/>
        <v>0</v>
      </c>
      <c r="M47" s="60">
        <f t="shared" si="10"/>
        <v>0</v>
      </c>
      <c r="N47" s="61">
        <f>M47*J32-(M47/Supuestos!$B$18)*I32</f>
        <v>0</v>
      </c>
      <c r="O47" s="62">
        <v>1</v>
      </c>
      <c r="P47" s="61">
        <f t="shared" si="11"/>
        <v>1220225.829302886</v>
      </c>
      <c r="Q47" s="61">
        <f t="shared" si="12"/>
        <v>332188.85681479634</v>
      </c>
    </row>
    <row r="48" spans="1:18" x14ac:dyDescent="0.3">
      <c r="A48" s="59" t="str">
        <f t="shared" si="0"/>
        <v>Abr</v>
      </c>
      <c r="B48" s="60">
        <f t="shared" si="1"/>
        <v>117433.459</v>
      </c>
      <c r="C48" s="60">
        <f>(B33+C33+D33)/(E33*24*Supuestos!$B$16)</f>
        <v>1053.1213450292398</v>
      </c>
      <c r="D48" s="60">
        <f t="shared" si="2"/>
        <v>117433.459</v>
      </c>
      <c r="E48" s="61">
        <f t="shared" si="3"/>
        <v>244314.43977654999</v>
      </c>
      <c r="F48" s="60">
        <f>((B33+C33+D33)-D48)/(E33*24*Supuestos!$B$16)</f>
        <v>766.97743908382063</v>
      </c>
      <c r="G48" s="60">
        <f t="shared" si="4"/>
        <v>934</v>
      </c>
      <c r="H48" s="60">
        <f t="shared" si="5"/>
        <v>766.97743908382063</v>
      </c>
      <c r="I48" s="61">
        <f t="shared" si="6"/>
        <v>65553.849821186668</v>
      </c>
      <c r="J48" s="60">
        <f t="shared" si="7"/>
        <v>0</v>
      </c>
      <c r="K48" s="60">
        <f t="shared" si="8"/>
        <v>766.97743908382063</v>
      </c>
      <c r="L48" s="61">
        <f t="shared" si="9"/>
        <v>0</v>
      </c>
      <c r="M48" s="60">
        <f t="shared" si="10"/>
        <v>0</v>
      </c>
      <c r="N48" s="61">
        <f>M48*J33-(M48/Supuestos!$B$18)*I33</f>
        <v>0</v>
      </c>
      <c r="O48" s="62">
        <v>1</v>
      </c>
      <c r="P48" s="61">
        <f t="shared" si="11"/>
        <v>1249994.4143749999</v>
      </c>
      <c r="Q48" s="61">
        <f t="shared" si="12"/>
        <v>309868.28959773667</v>
      </c>
    </row>
    <row r="49" spans="1:17" x14ac:dyDescent="0.3">
      <c r="A49" s="59" t="str">
        <f t="shared" si="0"/>
        <v>May</v>
      </c>
      <c r="B49" s="60">
        <f t="shared" si="1"/>
        <v>117181.63599999998</v>
      </c>
      <c r="C49" s="60">
        <f>(B34+C34+D34)/(E34*24*Supuestos!$B$16)</f>
        <v>1021.455857385399</v>
      </c>
      <c r="D49" s="60">
        <f t="shared" si="2"/>
        <v>117181.63599999998</v>
      </c>
      <c r="E49" s="61">
        <f t="shared" si="3"/>
        <v>243790.53461619996</v>
      </c>
      <c r="F49" s="60">
        <f>((B34+C34+D34)-D49)/(E34*24*Supuestos!$B$16)</f>
        <v>745.13621014902856</v>
      </c>
      <c r="G49" s="60">
        <f t="shared" si="4"/>
        <v>1021.455857385399</v>
      </c>
      <c r="H49" s="60">
        <f t="shared" si="5"/>
        <v>745.13621014902856</v>
      </c>
      <c r="I49" s="61">
        <f t="shared" si="6"/>
        <v>108451.31674556684</v>
      </c>
      <c r="J49" s="60">
        <f t="shared" si="7"/>
        <v>0</v>
      </c>
      <c r="K49" s="60">
        <f t="shared" si="8"/>
        <v>745.13621014902856</v>
      </c>
      <c r="L49" s="61">
        <f t="shared" si="9"/>
        <v>0</v>
      </c>
      <c r="M49" s="60">
        <f t="shared" si="10"/>
        <v>0</v>
      </c>
      <c r="N49" s="61">
        <f>M49*J34-(M49/Supuestos!$B$18)*I34</f>
        <v>0</v>
      </c>
      <c r="O49" s="62">
        <v>1</v>
      </c>
      <c r="P49" s="61">
        <f t="shared" si="11"/>
        <v>1292957.9936289047</v>
      </c>
      <c r="Q49" s="61">
        <f t="shared" si="12"/>
        <v>352241.85136176681</v>
      </c>
    </row>
    <row r="50" spans="1:17" x14ac:dyDescent="0.3">
      <c r="A50" s="59" t="str">
        <f t="shared" si="0"/>
        <v>Jun</v>
      </c>
      <c r="B50" s="60">
        <f t="shared" si="1"/>
        <v>106940.834</v>
      </c>
      <c r="C50" s="60">
        <f>(B35+C35+D35)/(E35*24*Supuestos!$B$16)</f>
        <v>1057.6608187134505</v>
      </c>
      <c r="D50" s="60">
        <f t="shared" si="2"/>
        <v>106940.834</v>
      </c>
      <c r="E50" s="61">
        <f t="shared" si="3"/>
        <v>222485.05809529999</v>
      </c>
      <c r="F50" s="60">
        <f>((B35+C35+D35)-D50)/(E35*24*Supuestos!$B$16)</f>
        <v>797.08373781676414</v>
      </c>
      <c r="G50" s="60">
        <f t="shared" si="4"/>
        <v>1049</v>
      </c>
      <c r="H50" s="60">
        <f t="shared" si="5"/>
        <v>797.08373781676414</v>
      </c>
      <c r="I50" s="61">
        <f t="shared" si="6"/>
        <v>98873.354162987336</v>
      </c>
      <c r="J50" s="60">
        <f t="shared" si="7"/>
        <v>0</v>
      </c>
      <c r="K50" s="60">
        <f t="shared" si="8"/>
        <v>797.08373781676414</v>
      </c>
      <c r="L50" s="61">
        <f t="shared" si="9"/>
        <v>0</v>
      </c>
      <c r="M50" s="60">
        <f t="shared" si="10"/>
        <v>0</v>
      </c>
      <c r="N50" s="61">
        <f>M50*J35-(M50/Supuestos!$B$18)*I35</f>
        <v>0</v>
      </c>
      <c r="O50" s="62">
        <v>1</v>
      </c>
      <c r="P50" s="61">
        <f t="shared" si="11"/>
        <v>1304868.7931402046</v>
      </c>
      <c r="Q50" s="61">
        <f t="shared" si="12"/>
        <v>321358.41225828731</v>
      </c>
    </row>
    <row r="51" spans="1:17" x14ac:dyDescent="0.3">
      <c r="A51" s="59" t="str">
        <f t="shared" si="0"/>
        <v>Jul</v>
      </c>
      <c r="B51" s="60">
        <f t="shared" si="1"/>
        <v>110130.59199999999</v>
      </c>
      <c r="C51" s="60">
        <f>(B36+C36+D36)/(E36*24*Supuestos!$B$16)</f>
        <v>969.19449160535748</v>
      </c>
      <c r="D51" s="60">
        <f t="shared" si="2"/>
        <v>110130.59199999999</v>
      </c>
      <c r="E51" s="61">
        <f t="shared" si="3"/>
        <v>229121.19012639998</v>
      </c>
      <c r="F51" s="60">
        <f>((B36+C36+D36)-D51)/(E36*24*Supuestos!$B$16)</f>
        <v>709.5015280135824</v>
      </c>
      <c r="G51" s="60">
        <f t="shared" si="4"/>
        <v>969.19449160535748</v>
      </c>
      <c r="H51" s="60">
        <f t="shared" si="5"/>
        <v>709.5015280135824</v>
      </c>
      <c r="I51" s="61">
        <f t="shared" si="6"/>
        <v>101925.59281531785</v>
      </c>
      <c r="J51" s="60">
        <f t="shared" si="7"/>
        <v>0</v>
      </c>
      <c r="K51" s="60">
        <f t="shared" si="8"/>
        <v>709.5015280135824</v>
      </c>
      <c r="L51" s="61">
        <f t="shared" si="9"/>
        <v>0</v>
      </c>
      <c r="M51" s="60">
        <f t="shared" si="10"/>
        <v>0</v>
      </c>
      <c r="N51" s="61">
        <f>M51*J36-(M51/Supuestos!$B$18)*I36</f>
        <v>0</v>
      </c>
      <c r="O51" s="62">
        <v>1</v>
      </c>
      <c r="P51" s="61">
        <f t="shared" si="11"/>
        <v>1247685.2857565128</v>
      </c>
      <c r="Q51" s="61">
        <f t="shared" si="12"/>
        <v>331046.78294171783</v>
      </c>
    </row>
    <row r="52" spans="1:17" x14ac:dyDescent="0.3">
      <c r="A52" s="59" t="str">
        <f t="shared" si="0"/>
        <v>Ago</v>
      </c>
      <c r="B52" s="60">
        <f t="shared" si="1"/>
        <v>103499.253</v>
      </c>
      <c r="C52" s="60">
        <f>(B37+C37+D37)/(E37*24*Supuestos!$B$16)</f>
        <v>991.28230522542924</v>
      </c>
      <c r="D52" s="60">
        <f t="shared" si="2"/>
        <v>103499.253</v>
      </c>
      <c r="E52" s="61">
        <f t="shared" si="3"/>
        <v>215325.02090384997</v>
      </c>
      <c r="F52" s="60">
        <f>((B37+C37+D37)-D52)/(E37*24*Supuestos!$B$16)</f>
        <v>747.22634172797586</v>
      </c>
      <c r="G52" s="60">
        <f t="shared" si="4"/>
        <v>991.28230522542924</v>
      </c>
      <c r="H52" s="60">
        <f t="shared" si="5"/>
        <v>747.22634172797586</v>
      </c>
      <c r="I52" s="61">
        <f t="shared" si="6"/>
        <v>95788.304833297996</v>
      </c>
      <c r="J52" s="60">
        <f t="shared" si="7"/>
        <v>0</v>
      </c>
      <c r="K52" s="60">
        <f t="shared" si="8"/>
        <v>747.22634172797586</v>
      </c>
      <c r="L52" s="61">
        <f t="shared" si="9"/>
        <v>0</v>
      </c>
      <c r="M52" s="60">
        <f t="shared" si="10"/>
        <v>0</v>
      </c>
      <c r="N52" s="61">
        <f>M52*J37-(M52/Supuestos!$B$18)*I37</f>
        <v>0</v>
      </c>
      <c r="O52" s="62">
        <v>1</v>
      </c>
      <c r="P52" s="61">
        <f t="shared" si="11"/>
        <v>1263695.0187974626</v>
      </c>
      <c r="Q52" s="61">
        <f t="shared" si="12"/>
        <v>311113.32573714794</v>
      </c>
    </row>
    <row r="53" spans="1:17" x14ac:dyDescent="0.3">
      <c r="A53" s="59" t="str">
        <f t="shared" si="0"/>
        <v>Sep</v>
      </c>
      <c r="B53" s="60">
        <f t="shared" si="1"/>
        <v>99302.202999999994</v>
      </c>
      <c r="C53" s="60">
        <f>(B38+C38+D38)/(E38*24*Supuestos!$B$16)</f>
        <v>873.35769980506825</v>
      </c>
      <c r="D53" s="60">
        <f t="shared" si="2"/>
        <v>99302.202999999994</v>
      </c>
      <c r="E53" s="61">
        <f t="shared" si="3"/>
        <v>206593.26823134997</v>
      </c>
      <c r="F53" s="60">
        <f>((B38+C38+D38)-D53)/(E38*24*Supuestos!$B$16)</f>
        <v>631.39326754385968</v>
      </c>
      <c r="G53" s="60">
        <f t="shared" si="4"/>
        <v>873.35769980506825</v>
      </c>
      <c r="H53" s="60">
        <f t="shared" si="5"/>
        <v>631.39326754385968</v>
      </c>
      <c r="I53" s="61">
        <f t="shared" si="6"/>
        <v>94967.410196040451</v>
      </c>
      <c r="J53" s="60">
        <f t="shared" si="7"/>
        <v>0</v>
      </c>
      <c r="K53" s="60">
        <f t="shared" si="8"/>
        <v>631.39326754385968</v>
      </c>
      <c r="L53" s="61">
        <f t="shared" si="9"/>
        <v>0</v>
      </c>
      <c r="M53" s="60">
        <f t="shared" si="10"/>
        <v>0</v>
      </c>
      <c r="N53" s="61">
        <f>M53*J38-(M53/Supuestos!$B$18)*I38</f>
        <v>0</v>
      </c>
      <c r="O53" s="62">
        <v>1</v>
      </c>
      <c r="P53" s="61">
        <f t="shared" si="11"/>
        <v>1090923.8624140839</v>
      </c>
      <c r="Q53" s="61">
        <f t="shared" si="12"/>
        <v>301560.6784273904</v>
      </c>
    </row>
    <row r="54" spans="1:17" x14ac:dyDescent="0.3">
      <c r="A54" s="59" t="str">
        <f t="shared" si="0"/>
        <v>Oct</v>
      </c>
      <c r="B54" s="60">
        <f t="shared" si="1"/>
        <v>102240.13799999999</v>
      </c>
      <c r="C54" s="60">
        <f>(B39+C39+D39)/(E39*24*Supuestos!$B$16)</f>
        <v>846.72703263535186</v>
      </c>
      <c r="D54" s="60">
        <f t="shared" si="2"/>
        <v>102240.13799999999</v>
      </c>
      <c r="E54" s="61">
        <f t="shared" si="3"/>
        <v>212705.49510209999</v>
      </c>
      <c r="F54" s="60">
        <f>((B39+C39+D39)-D54)/(E39*24*Supuestos!$B$16)</f>
        <v>605.64011978871918</v>
      </c>
      <c r="G54" s="60">
        <f t="shared" si="4"/>
        <v>846.72703263535186</v>
      </c>
      <c r="H54" s="60">
        <f t="shared" si="5"/>
        <v>605.64011978871918</v>
      </c>
      <c r="I54" s="61">
        <f t="shared" si="6"/>
        <v>94622.996988610626</v>
      </c>
      <c r="J54" s="60">
        <f t="shared" si="7"/>
        <v>0</v>
      </c>
      <c r="K54" s="60">
        <f t="shared" si="8"/>
        <v>605.64011978871918</v>
      </c>
      <c r="L54" s="61">
        <f t="shared" si="9"/>
        <v>0</v>
      </c>
      <c r="M54" s="60">
        <f t="shared" si="10"/>
        <v>0</v>
      </c>
      <c r="N54" s="61">
        <f>M54*J39-(M54/Supuestos!$B$18)*I39</f>
        <v>0</v>
      </c>
      <c r="O54" s="62">
        <v>1</v>
      </c>
      <c r="P54" s="61">
        <f t="shared" si="11"/>
        <v>1083013.1656420957</v>
      </c>
      <c r="Q54" s="61">
        <f t="shared" si="12"/>
        <v>307328.49209071061</v>
      </c>
    </row>
    <row r="55" spans="1:17" x14ac:dyDescent="0.3">
      <c r="A55" s="59" t="str">
        <f t="shared" si="0"/>
        <v>Nov</v>
      </c>
      <c r="B55" s="60">
        <f t="shared" si="1"/>
        <v>96532.15</v>
      </c>
      <c r="C55" s="60">
        <f>(B40+C40+D40)/(E40*24*Supuestos!$B$16)</f>
        <v>808.16520467836267</v>
      </c>
      <c r="D55" s="60">
        <f t="shared" si="2"/>
        <v>96532.15</v>
      </c>
      <c r="E55" s="61">
        <f t="shared" si="3"/>
        <v>200830.31146749997</v>
      </c>
      <c r="F55" s="60">
        <f>((B40+C40+D40)-D55)/(E40*24*Supuestos!$B$16)</f>
        <v>572.95041423001953</v>
      </c>
      <c r="G55" s="60">
        <f t="shared" si="4"/>
        <v>808.16520467836267</v>
      </c>
      <c r="H55" s="60">
        <f t="shared" si="5"/>
        <v>572.95041423001953</v>
      </c>
      <c r="I55" s="61">
        <f t="shared" si="6"/>
        <v>92318.277029117962</v>
      </c>
      <c r="J55" s="60">
        <f t="shared" si="7"/>
        <v>0</v>
      </c>
      <c r="K55" s="60">
        <f t="shared" si="8"/>
        <v>572.95041423001953</v>
      </c>
      <c r="L55" s="61">
        <f t="shared" si="9"/>
        <v>0</v>
      </c>
      <c r="M55" s="60">
        <f t="shared" si="10"/>
        <v>0</v>
      </c>
      <c r="N55" s="61">
        <f>M55*J40-(M55/Supuestos!$B$18)*I40</f>
        <v>0</v>
      </c>
      <c r="O55" s="62">
        <v>1</v>
      </c>
      <c r="P55" s="61">
        <f t="shared" si="11"/>
        <v>1015424.4999369883</v>
      </c>
      <c r="Q55" s="61">
        <f t="shared" si="12"/>
        <v>293148.58849661791</v>
      </c>
    </row>
    <row r="56" spans="1:17" x14ac:dyDescent="0.3">
      <c r="A56" s="59" t="str">
        <f t="shared" si="0"/>
        <v>Dic</v>
      </c>
      <c r="B56" s="60">
        <f t="shared" si="1"/>
        <v>94517.565999999992</v>
      </c>
      <c r="C56" s="60">
        <f>(B41+C41+D41)/(E41*24*Supuestos!$B$16)</f>
        <v>924.99056781739296</v>
      </c>
      <c r="D56" s="60">
        <f t="shared" si="2"/>
        <v>94517.565999999992</v>
      </c>
      <c r="E56" s="61">
        <f t="shared" si="3"/>
        <v>196639.07018469999</v>
      </c>
      <c r="F56" s="60">
        <f>((B41+C41+D41)-D56)/(E41*24*Supuestos!$B$16)</f>
        <v>702.11383229579326</v>
      </c>
      <c r="G56" s="60">
        <f t="shared" si="4"/>
        <v>924.99056781739296</v>
      </c>
      <c r="H56" s="60">
        <f t="shared" si="5"/>
        <v>702.11383229579326</v>
      </c>
      <c r="I56" s="61">
        <f t="shared" si="6"/>
        <v>87475.775541195064</v>
      </c>
      <c r="J56" s="60">
        <f t="shared" si="7"/>
        <v>0</v>
      </c>
      <c r="K56" s="60">
        <f t="shared" si="8"/>
        <v>702.11383229579326</v>
      </c>
      <c r="L56" s="61">
        <f t="shared" si="9"/>
        <v>0</v>
      </c>
      <c r="M56" s="60">
        <f t="shared" si="10"/>
        <v>0</v>
      </c>
      <c r="N56" s="61">
        <f>M56*J41-(M56/Supuestos!$B$18)*I41</f>
        <v>0</v>
      </c>
      <c r="O56" s="62">
        <v>1</v>
      </c>
      <c r="P56" s="61">
        <f t="shared" si="11"/>
        <v>1193581.6224001935</v>
      </c>
      <c r="Q56" s="61">
        <f t="shared" si="12"/>
        <v>284114.84572589502</v>
      </c>
    </row>
    <row r="57" spans="1:17" x14ac:dyDescent="0.3">
      <c r="A57" s="63" t="s">
        <v>182</v>
      </c>
    </row>
    <row r="58" spans="1:17" ht="18" customHeight="1" x14ac:dyDescent="0.3">
      <c r="A58" s="3" t="s">
        <v>183</v>
      </c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7" ht="25.5" customHeight="1" x14ac:dyDescent="0.3">
      <c r="A59" s="64" t="s">
        <v>135</v>
      </c>
      <c r="B59" s="64" t="s">
        <v>184</v>
      </c>
      <c r="C59" s="64" t="s">
        <v>185</v>
      </c>
      <c r="D59" s="64" t="s">
        <v>186</v>
      </c>
      <c r="E59" s="64" t="s">
        <v>187</v>
      </c>
      <c r="F59" s="64" t="s">
        <v>188</v>
      </c>
      <c r="G59" s="64" t="s">
        <v>189</v>
      </c>
      <c r="H59" s="64" t="s">
        <v>190</v>
      </c>
      <c r="I59" s="64" t="s">
        <v>191</v>
      </c>
      <c r="J59" s="64" t="s">
        <v>192</v>
      </c>
      <c r="K59" s="64" t="s">
        <v>17</v>
      </c>
    </row>
    <row r="60" spans="1:17" x14ac:dyDescent="0.3">
      <c r="A60" s="12" t="str">
        <f t="shared" ref="A60:A71" si="13">A30</f>
        <v>Ene</v>
      </c>
      <c r="B60" s="65">
        <f t="shared" ref="B60:B71" si="14">B30+C30+D30</f>
        <v>390684</v>
      </c>
      <c r="C60" s="65">
        <f t="shared" ref="C60:C71" si="15">B45</f>
        <v>97623.382999999987</v>
      </c>
      <c r="D60" s="65">
        <f t="shared" ref="D60:D71" si="16">M45</f>
        <v>0</v>
      </c>
      <c r="E60" s="66">
        <f t="shared" ref="E60:E71" si="17">(P45+R30)*$L$6</f>
        <v>1319638.89887441</v>
      </c>
      <c r="F60" s="66">
        <f t="shared" ref="F60:F71" si="18">(E45+I45)*(1-IF(R30&lt;0,-R30/P45,0))</f>
        <v>293450.76872044039</v>
      </c>
      <c r="G60" s="66">
        <f t="shared" ref="G60:G71" si="19">(L45+N45)*(1-IF(R30&lt;0,-R30/P45,0))</f>
        <v>0</v>
      </c>
      <c r="H60" s="66">
        <f t="shared" ref="H60:H71" si="20">IF($J$6="Sí",MAX(0,R30),0)</f>
        <v>49039.23</v>
      </c>
      <c r="I60" s="66">
        <f t="shared" ref="I60:I71" si="21">E60-F60-G60-H60</f>
        <v>977148.90015396965</v>
      </c>
      <c r="J60" s="66">
        <f t="shared" ref="J60:J71" si="22">F60+G60+H60</f>
        <v>342489.99872044037</v>
      </c>
      <c r="K60" s="67">
        <f t="shared" ref="K60:K72" si="23">J60/E60</f>
        <v>0.25953311850125688</v>
      </c>
    </row>
    <row r="61" spans="1:17" x14ac:dyDescent="0.3">
      <c r="A61" s="12" t="str">
        <f t="shared" si="13"/>
        <v>Feb</v>
      </c>
      <c r="B61" s="65">
        <f t="shared" si="14"/>
        <v>370470</v>
      </c>
      <c r="C61" s="65">
        <f t="shared" si="15"/>
        <v>95524.857999999993</v>
      </c>
      <c r="D61" s="65">
        <f t="shared" si="16"/>
        <v>0</v>
      </c>
      <c r="E61" s="66">
        <f t="shared" si="17"/>
        <v>1287234.7541401503</v>
      </c>
      <c r="F61" s="66">
        <f t="shared" si="18"/>
        <v>296615.00069486041</v>
      </c>
      <c r="G61" s="66">
        <f t="shared" si="19"/>
        <v>0</v>
      </c>
      <c r="H61" s="66">
        <f t="shared" si="20"/>
        <v>45533.52</v>
      </c>
      <c r="I61" s="66">
        <f t="shared" si="21"/>
        <v>945086.23344528978</v>
      </c>
      <c r="J61" s="66">
        <f t="shared" si="22"/>
        <v>342148.52069486043</v>
      </c>
      <c r="K61" s="67">
        <f t="shared" si="23"/>
        <v>0.26580118319086987</v>
      </c>
    </row>
    <row r="62" spans="1:17" x14ac:dyDescent="0.3">
      <c r="A62" s="12" t="str">
        <f t="shared" si="13"/>
        <v>Mar</v>
      </c>
      <c r="B62" s="65">
        <f t="shared" si="14"/>
        <v>418788</v>
      </c>
      <c r="C62" s="65">
        <f t="shared" si="15"/>
        <v>118021.04599999999</v>
      </c>
      <c r="D62" s="65">
        <f t="shared" si="16"/>
        <v>0</v>
      </c>
      <c r="E62" s="66">
        <f t="shared" si="17"/>
        <v>1358013.288318712</v>
      </c>
      <c r="F62" s="66">
        <f t="shared" si="18"/>
        <v>332188.85681479634</v>
      </c>
      <c r="G62" s="66">
        <f t="shared" si="19"/>
        <v>0</v>
      </c>
      <c r="H62" s="66">
        <f t="shared" si="20"/>
        <v>44271.61</v>
      </c>
      <c r="I62" s="66">
        <f t="shared" si="21"/>
        <v>981552.82150391571</v>
      </c>
      <c r="J62" s="66">
        <f t="shared" si="22"/>
        <v>376460.46681479632</v>
      </c>
      <c r="K62" s="67">
        <f t="shared" si="23"/>
        <v>0.27721412599789291</v>
      </c>
    </row>
    <row r="63" spans="1:17" x14ac:dyDescent="0.3">
      <c r="A63" s="12" t="str">
        <f t="shared" si="13"/>
        <v>Abr</v>
      </c>
      <c r="B63" s="65">
        <f t="shared" si="14"/>
        <v>432201</v>
      </c>
      <c r="C63" s="65">
        <f t="shared" si="15"/>
        <v>117433.459</v>
      </c>
      <c r="D63" s="65">
        <f t="shared" si="16"/>
        <v>0</v>
      </c>
      <c r="E63" s="66">
        <f t="shared" si="17"/>
        <v>1392967.9285234259</v>
      </c>
      <c r="F63" s="66">
        <f t="shared" si="18"/>
        <v>309868.28959773667</v>
      </c>
      <c r="G63" s="66">
        <f t="shared" si="19"/>
        <v>0</v>
      </c>
      <c r="H63" s="66">
        <f t="shared" si="20"/>
        <v>47050.61</v>
      </c>
      <c r="I63" s="66">
        <f t="shared" si="21"/>
        <v>1036049.0289256893</v>
      </c>
      <c r="J63" s="66">
        <f t="shared" si="22"/>
        <v>356918.89959773666</v>
      </c>
      <c r="K63" s="67">
        <f t="shared" si="23"/>
        <v>0.25622908631936547</v>
      </c>
    </row>
    <row r="64" spans="1:17" x14ac:dyDescent="0.3">
      <c r="A64" s="12" t="str">
        <f t="shared" si="13"/>
        <v>May</v>
      </c>
      <c r="B64" s="65">
        <f t="shared" si="14"/>
        <v>433179</v>
      </c>
      <c r="C64" s="65">
        <f t="shared" si="15"/>
        <v>117181.63599999998</v>
      </c>
      <c r="D64" s="65">
        <f t="shared" si="16"/>
        <v>0</v>
      </c>
      <c r="E64" s="66">
        <f t="shared" si="17"/>
        <v>1440459.2789705319</v>
      </c>
      <c r="F64" s="66">
        <f t="shared" si="18"/>
        <v>352241.85136176681</v>
      </c>
      <c r="G64" s="66">
        <f t="shared" si="19"/>
        <v>0</v>
      </c>
      <c r="H64" s="66">
        <f t="shared" si="20"/>
        <v>48308.02</v>
      </c>
      <c r="I64" s="66">
        <f t="shared" si="21"/>
        <v>1039909.4076087652</v>
      </c>
      <c r="J64" s="66">
        <f t="shared" si="22"/>
        <v>400549.87136176683</v>
      </c>
      <c r="K64" s="67">
        <f t="shared" si="23"/>
        <v>0.2780709439061908</v>
      </c>
    </row>
    <row r="65" spans="1:12" x14ac:dyDescent="0.3">
      <c r="A65" s="12" t="str">
        <f t="shared" si="13"/>
        <v>Jun</v>
      </c>
      <c r="B65" s="65">
        <f t="shared" si="14"/>
        <v>434064</v>
      </c>
      <c r="C65" s="65">
        <f t="shared" si="15"/>
        <v>106940.834</v>
      </c>
      <c r="D65" s="65">
        <f t="shared" si="16"/>
        <v>0</v>
      </c>
      <c r="E65" s="66">
        <f t="shared" si="17"/>
        <v>1460901.3666079438</v>
      </c>
      <c r="F65" s="66">
        <f t="shared" si="18"/>
        <v>321358.41225828731</v>
      </c>
      <c r="G65" s="66">
        <f t="shared" si="19"/>
        <v>0</v>
      </c>
      <c r="H65" s="66">
        <f t="shared" si="20"/>
        <v>55431.62</v>
      </c>
      <c r="I65" s="66">
        <f t="shared" si="21"/>
        <v>1084111.3343496565</v>
      </c>
      <c r="J65" s="66">
        <f t="shared" si="22"/>
        <v>376790.03225828731</v>
      </c>
      <c r="K65" s="67">
        <f t="shared" si="23"/>
        <v>0.25791613374498601</v>
      </c>
    </row>
    <row r="66" spans="1:12" x14ac:dyDescent="0.3">
      <c r="A66" s="12" t="str">
        <f t="shared" si="13"/>
        <v>Jul</v>
      </c>
      <c r="B66" s="65">
        <f t="shared" si="14"/>
        <v>411016</v>
      </c>
      <c r="C66" s="65">
        <f t="shared" si="15"/>
        <v>110130.59199999999</v>
      </c>
      <c r="D66" s="65">
        <f t="shared" si="16"/>
        <v>0</v>
      </c>
      <c r="E66" s="66">
        <f t="shared" si="17"/>
        <v>1399137.6079016719</v>
      </c>
      <c r="F66" s="66">
        <f t="shared" si="18"/>
        <v>331046.78294171783</v>
      </c>
      <c r="G66" s="66">
        <f t="shared" si="19"/>
        <v>0</v>
      </c>
      <c r="H66" s="66">
        <f t="shared" si="20"/>
        <v>55104.56</v>
      </c>
      <c r="I66" s="66">
        <f t="shared" si="21"/>
        <v>1012986.264959954</v>
      </c>
      <c r="J66" s="66">
        <f t="shared" si="22"/>
        <v>386151.34294171783</v>
      </c>
      <c r="K66" s="67">
        <f t="shared" si="23"/>
        <v>0.27599239757470351</v>
      </c>
    </row>
    <row r="67" spans="1:12" x14ac:dyDescent="0.3">
      <c r="A67" s="12" t="str">
        <f t="shared" si="13"/>
        <v>Ago</v>
      </c>
      <c r="B67" s="65">
        <f t="shared" si="14"/>
        <v>420383</v>
      </c>
      <c r="C67" s="65">
        <f t="shared" si="15"/>
        <v>103499.253</v>
      </c>
      <c r="D67" s="65">
        <f t="shared" si="16"/>
        <v>0</v>
      </c>
      <c r="E67" s="66">
        <f t="shared" si="17"/>
        <v>1414153.6385843891</v>
      </c>
      <c r="F67" s="66">
        <f t="shared" si="18"/>
        <v>311113.32573714794</v>
      </c>
      <c r="G67" s="66">
        <f t="shared" si="19"/>
        <v>0</v>
      </c>
      <c r="H67" s="66">
        <f t="shared" si="20"/>
        <v>53076.82</v>
      </c>
      <c r="I67" s="66">
        <f t="shared" si="21"/>
        <v>1049963.4928472412</v>
      </c>
      <c r="J67" s="66">
        <f t="shared" si="22"/>
        <v>364190.14573714795</v>
      </c>
      <c r="K67" s="67">
        <f t="shared" si="23"/>
        <v>0.25753223398110647</v>
      </c>
    </row>
    <row r="68" spans="1:12" x14ac:dyDescent="0.3">
      <c r="A68" s="12" t="str">
        <f t="shared" si="13"/>
        <v>Sep</v>
      </c>
      <c r="B68" s="65">
        <f t="shared" si="14"/>
        <v>358426</v>
      </c>
      <c r="C68" s="65">
        <f t="shared" si="15"/>
        <v>99302.202999999994</v>
      </c>
      <c r="D68" s="65">
        <f t="shared" si="16"/>
        <v>0</v>
      </c>
      <c r="E68" s="66">
        <f t="shared" si="17"/>
        <v>1224335.6807504948</v>
      </c>
      <c r="F68" s="66">
        <f t="shared" si="18"/>
        <v>301560.6784273904</v>
      </c>
      <c r="G68" s="66">
        <f t="shared" si="19"/>
        <v>0</v>
      </c>
      <c r="H68" s="66">
        <f t="shared" si="20"/>
        <v>49101.31</v>
      </c>
      <c r="I68" s="66">
        <f t="shared" si="21"/>
        <v>873673.69232310448</v>
      </c>
      <c r="J68" s="66">
        <f t="shared" si="22"/>
        <v>350661.9884273904</v>
      </c>
      <c r="K68" s="67">
        <f t="shared" si="23"/>
        <v>0.28641000498526775</v>
      </c>
    </row>
    <row r="69" spans="1:12" x14ac:dyDescent="0.3">
      <c r="A69" s="12" t="str">
        <f t="shared" si="13"/>
        <v>Oct</v>
      </c>
      <c r="B69" s="65">
        <f t="shared" si="14"/>
        <v>359080</v>
      </c>
      <c r="C69" s="65">
        <f t="shared" si="15"/>
        <v>102240.13799999999</v>
      </c>
      <c r="D69" s="65">
        <f t="shared" si="16"/>
        <v>0</v>
      </c>
      <c r="E69" s="66">
        <f t="shared" si="17"/>
        <v>1220064.8016382253</v>
      </c>
      <c r="F69" s="66">
        <f t="shared" si="18"/>
        <v>307328.49209071061</v>
      </c>
      <c r="G69" s="66">
        <f t="shared" si="19"/>
        <v>0</v>
      </c>
      <c r="H69" s="66">
        <f t="shared" si="20"/>
        <v>53035.23</v>
      </c>
      <c r="I69" s="66">
        <f t="shared" si="21"/>
        <v>859701.07954751467</v>
      </c>
      <c r="J69" s="66">
        <f t="shared" si="22"/>
        <v>360363.72209071059</v>
      </c>
      <c r="K69" s="67">
        <f t="shared" si="23"/>
        <v>0.29536441146965076</v>
      </c>
    </row>
    <row r="70" spans="1:12" x14ac:dyDescent="0.3">
      <c r="A70" s="12" t="str">
        <f t="shared" si="13"/>
        <v>Nov</v>
      </c>
      <c r="B70" s="65">
        <f t="shared" si="14"/>
        <v>331671</v>
      </c>
      <c r="C70" s="65">
        <f t="shared" si="15"/>
        <v>96532.15</v>
      </c>
      <c r="D70" s="65">
        <f t="shared" si="16"/>
        <v>0</v>
      </c>
      <c r="E70" s="66">
        <f t="shared" si="17"/>
        <v>1141824.3634045285</v>
      </c>
      <c r="F70" s="66">
        <f t="shared" si="18"/>
        <v>293148.58849661791</v>
      </c>
      <c r="G70" s="66">
        <f t="shared" si="19"/>
        <v>0</v>
      </c>
      <c r="H70" s="66">
        <f t="shared" si="20"/>
        <v>47771.27</v>
      </c>
      <c r="I70" s="66">
        <f t="shared" si="21"/>
        <v>800904.50490791048</v>
      </c>
      <c r="J70" s="66">
        <f t="shared" si="22"/>
        <v>340919.85849661793</v>
      </c>
      <c r="K70" s="67">
        <f t="shared" si="23"/>
        <v>0.29857469276633042</v>
      </c>
    </row>
    <row r="71" spans="1:12" x14ac:dyDescent="0.3">
      <c r="A71" s="12" t="str">
        <f t="shared" si="13"/>
        <v>Dic</v>
      </c>
      <c r="B71" s="65">
        <f t="shared" si="14"/>
        <v>392270</v>
      </c>
      <c r="C71" s="65">
        <f t="shared" si="15"/>
        <v>94517.565999999992</v>
      </c>
      <c r="D71" s="65">
        <f t="shared" si="16"/>
        <v>0</v>
      </c>
      <c r="E71" s="66">
        <f t="shared" si="17"/>
        <v>1335585.1922855184</v>
      </c>
      <c r="F71" s="66">
        <f t="shared" si="18"/>
        <v>284114.84572589502</v>
      </c>
      <c r="G71" s="66">
        <f t="shared" si="19"/>
        <v>0</v>
      </c>
      <c r="H71" s="66">
        <f t="shared" si="20"/>
        <v>50032.17</v>
      </c>
      <c r="I71" s="66">
        <f t="shared" si="21"/>
        <v>1001438.1765596232</v>
      </c>
      <c r="J71" s="66">
        <f t="shared" si="22"/>
        <v>334147.01572589501</v>
      </c>
      <c r="K71" s="67">
        <f t="shared" si="23"/>
        <v>0.25018772119963861</v>
      </c>
    </row>
    <row r="72" spans="1:12" x14ac:dyDescent="0.3">
      <c r="A72" s="16" t="s">
        <v>193</v>
      </c>
      <c r="B72" s="28">
        <f t="shared" ref="B72:J72" si="24">SUM(B60:B71)</f>
        <v>4752232</v>
      </c>
      <c r="C72" s="28">
        <f t="shared" si="24"/>
        <v>1258947.1179999998</v>
      </c>
      <c r="D72" s="28">
        <f t="shared" si="24"/>
        <v>0</v>
      </c>
      <c r="E72" s="19">
        <f t="shared" si="24"/>
        <v>15994316.800000003</v>
      </c>
      <c r="F72" s="19">
        <f t="shared" si="24"/>
        <v>3734035.8928673672</v>
      </c>
      <c r="G72" s="19">
        <f t="shared" si="24"/>
        <v>0</v>
      </c>
      <c r="H72" s="19">
        <f t="shared" si="24"/>
        <v>597755.97</v>
      </c>
      <c r="I72" s="19">
        <f t="shared" si="24"/>
        <v>11662524.937132634</v>
      </c>
      <c r="J72" s="19">
        <f t="shared" si="24"/>
        <v>4331791.8628673675</v>
      </c>
      <c r="K72" s="68">
        <f t="shared" si="23"/>
        <v>0.27083319137878814</v>
      </c>
    </row>
    <row r="73" spans="1:12" x14ac:dyDescent="0.3">
      <c r="A73" s="63" t="s">
        <v>243</v>
      </c>
    </row>
    <row r="75" spans="1:12" ht="18" customHeight="1" x14ac:dyDescent="0.3">
      <c r="A75" s="3" t="s">
        <v>195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x14ac:dyDescent="0.3">
      <c r="A76" s="69" t="s">
        <v>196</v>
      </c>
      <c r="B76" s="70" t="s">
        <v>197</v>
      </c>
      <c r="C76" s="71">
        <f>F72</f>
        <v>3734035.8928673672</v>
      </c>
      <c r="D76" s="70" t="s">
        <v>198</v>
      </c>
      <c r="E76" s="71">
        <f>F72+SUMPRODUCT(E45:E56*(1/O45:O56-1))</f>
        <v>3734035.8928673672</v>
      </c>
      <c r="F76" s="70" t="s">
        <v>199</v>
      </c>
      <c r="G76" s="71">
        <f>G72</f>
        <v>0</v>
      </c>
      <c r="H76" s="70" t="s">
        <v>200</v>
      </c>
      <c r="I76" s="71">
        <f>H72</f>
        <v>597755.97</v>
      </c>
      <c r="J76" s="70" t="s">
        <v>185</v>
      </c>
      <c r="K76" s="72">
        <f>C72</f>
        <v>1258947.1179999998</v>
      </c>
    </row>
    <row r="77" spans="1:12" ht="25.5" customHeight="1" x14ac:dyDescent="0.3">
      <c r="A77" s="52" t="s">
        <v>201</v>
      </c>
      <c r="B77" s="52" t="s">
        <v>202</v>
      </c>
      <c r="C77" s="52" t="s">
        <v>187</v>
      </c>
      <c r="D77" s="52" t="s">
        <v>203</v>
      </c>
      <c r="E77" s="52" t="s">
        <v>204</v>
      </c>
      <c r="F77" s="52" t="s">
        <v>205</v>
      </c>
      <c r="G77" s="52" t="s">
        <v>206</v>
      </c>
      <c r="H77" s="52" t="s">
        <v>207</v>
      </c>
      <c r="I77" s="52" t="s">
        <v>208</v>
      </c>
      <c r="J77" s="52" t="s">
        <v>209</v>
      </c>
      <c r="K77" s="52" t="s">
        <v>210</v>
      </c>
      <c r="L77" s="52" t="s">
        <v>211</v>
      </c>
    </row>
    <row r="78" spans="1:12" x14ac:dyDescent="0.3">
      <c r="A78" s="12">
        <v>0</v>
      </c>
      <c r="B78" s="12" t="s">
        <v>18</v>
      </c>
      <c r="H78" s="66">
        <f>-B26-B25-D25</f>
        <v>-11298734.125</v>
      </c>
      <c r="K78" s="66">
        <v>0</v>
      </c>
      <c r="L78" s="66">
        <f>-B26-B25-D25</f>
        <v>-11298734.125</v>
      </c>
    </row>
    <row r="79" spans="1:12" x14ac:dyDescent="0.3">
      <c r="A79" s="12">
        <v>1</v>
      </c>
      <c r="B79" s="59" t="str">
        <f>IF(A79&lt;=(Supuestos!$B$22-Supuestos!$B$24),"Autoabasto","CFE pleno")</f>
        <v>Autoabasto</v>
      </c>
      <c r="C79" s="61">
        <f>IF(A79&lt;=(Supuestos!$B$22-Supuestos!$B$24),$B$12,$B$10)*(1+Supuestos!$B$8)^A79</f>
        <v>16953975.808000002</v>
      </c>
      <c r="D79" s="61">
        <f>IF(A79&lt;=(Supuestos!$B$22-Supuestos!$B$24),$C$76,$E$76)*(1+Supuestos!$B$8)^A79*(1-Supuestos!$B$11)^A79</f>
        <v>3938287.6562072122</v>
      </c>
      <c r="E79" s="61">
        <f>$G$76*(1+Supuestos!$B$8)^A79*(1-Supuestos!$B$12)^A79*Supuestos!$B$10</f>
        <v>0</v>
      </c>
      <c r="F79" s="61">
        <f>$I$76*(1+Supuestos!$B$8)^A79</f>
        <v>633621.32819999999</v>
      </c>
      <c r="G79" s="61">
        <f t="shared" ref="G79:G98" si="25">C79-D79-E79-F79</f>
        <v>12382066.823592791</v>
      </c>
      <c r="H79" s="61">
        <f>D79+E79+F79-(Supuestos!$B$19*$B$6+Supuestos!$B$20*$F$6)*(1+Supuestos!$B$8)^(A79-1)</f>
        <v>4311691.884407213</v>
      </c>
      <c r="I79" s="61">
        <f>IF(A79&lt;=Supuestos!$J$30,$K$76*(1-Supuestos!$B$11)^A79*Supuestos!$I$30*(1+Supuestos!$B$9)^(A79-1),0)</f>
        <v>2109216.0815019575</v>
      </c>
      <c r="J79" s="61">
        <f>E79*Supuestos!$K$30</f>
        <v>0</v>
      </c>
      <c r="K79" s="61">
        <f>D79-I79+E79-J79+F79-IF(A79&lt;=Supuestos!$J$30,0,Supuestos!$B$19*$B$6*(1+Supuestos!$B$8)^(A79-1))</f>
        <v>2462692.9029052546</v>
      </c>
      <c r="L79" s="61">
        <f>I79+J79-IF(A79&lt;=Supuestos!$J$30,(Supuestos!$B$19*$B$6+Supuestos!$B$20*$F$6),Supuestos!$B$20*$F$6)*(1+Supuestos!$B$8)^(A79-1)</f>
        <v>1848998.9815019574</v>
      </c>
    </row>
    <row r="80" spans="1:12" x14ac:dyDescent="0.3">
      <c r="A80" s="12">
        <v>2</v>
      </c>
      <c r="B80" s="59" t="str">
        <f>IF(A80&lt;=(Supuestos!$B$22-Supuestos!$B$24),"Autoabasto","CFE pleno")</f>
        <v>Autoabasto</v>
      </c>
      <c r="C80" s="61">
        <f>IF(A80&lt;=(Supuestos!$B$22-Supuestos!$B$24),$B$12,$B$10)*(1+Supuestos!$B$8)^A80</f>
        <v>17971214.356480002</v>
      </c>
      <c r="D80" s="61">
        <f>IF(A80&lt;=(Supuestos!$B$22-Supuestos!$B$24),$C$76,$E$76)*(1+Supuestos!$B$8)^A80*(1-Supuestos!$B$11)^A80</f>
        <v>4153711.9910017475</v>
      </c>
      <c r="E80" s="61">
        <f>$G$76*(1+Supuestos!$B$8)^A80*(1-Supuestos!$B$12)^A80*Supuestos!$B$10</f>
        <v>0</v>
      </c>
      <c r="F80" s="61">
        <f>$I$76*(1+Supuestos!$B$8)^A80</f>
        <v>671638.60789200012</v>
      </c>
      <c r="G80" s="61">
        <f t="shared" si="25"/>
        <v>13145863.757586256</v>
      </c>
      <c r="H80" s="61">
        <f>D80+E80+F80-(Supuestos!$B$19*$B$6+Supuestos!$B$20*$F$6)*(1+Supuestos!$B$8)^(A80-1)</f>
        <v>4549520.4728937475</v>
      </c>
      <c r="I80" s="61">
        <f>IF(A80&lt;=Supuestos!$J$30,$K$76*(1-Supuestos!$B$11)^A80*Supuestos!$I$30*(1+Supuestos!$B$9)^(A80-1),0)</f>
        <v>2203603.5011491706</v>
      </c>
      <c r="J80" s="61">
        <f>E80*Supuestos!$K$30</f>
        <v>0</v>
      </c>
      <c r="K80" s="61">
        <f>D80-I80+E80-J80+F80-IF(A80&lt;=Supuestos!$J$30,0,Supuestos!$B$19*$B$6*(1+Supuestos!$B$8)^(A80-1))</f>
        <v>2621747.0977445771</v>
      </c>
      <c r="L80" s="61">
        <f>I80+J80-IF(A80&lt;=Supuestos!$J$30,(Supuestos!$B$19*$B$6+Supuestos!$B$20*$F$6),Supuestos!$B$20*$F$6)*(1+Supuestos!$B$8)^(A80-1)</f>
        <v>1927773.3751491706</v>
      </c>
    </row>
    <row r="81" spans="1:12" x14ac:dyDescent="0.3">
      <c r="A81" s="12">
        <v>3</v>
      </c>
      <c r="B81" s="59" t="str">
        <f>IF(A81&lt;=(Supuestos!$B$22-Supuestos!$B$24),"Autoabasto","CFE pleno")</f>
        <v>Autoabasto</v>
      </c>
      <c r="C81" s="61">
        <f>IF(A81&lt;=(Supuestos!$B$22-Supuestos!$B$24),$B$12,$B$10)*(1+Supuestos!$B$8)^A81</f>
        <v>19049487.217868805</v>
      </c>
      <c r="D81" s="61">
        <f>IF(A81&lt;=(Supuestos!$B$22-Supuestos!$B$24),$C$76,$E$76)*(1+Supuestos!$B$8)^A81*(1-Supuestos!$B$11)^A81</f>
        <v>4380920.0369095439</v>
      </c>
      <c r="E81" s="61">
        <f>$G$76*(1+Supuestos!$B$8)^A81*(1-Supuestos!$B$12)^A81*Supuestos!$B$10</f>
        <v>0</v>
      </c>
      <c r="F81" s="61">
        <f>$I$76*(1+Supuestos!$B$8)^A81</f>
        <v>711936.92436552013</v>
      </c>
      <c r="G81" s="61">
        <f t="shared" si="25"/>
        <v>13956630.256593741</v>
      </c>
      <c r="H81" s="61">
        <f>D81+E81+F81-(Supuestos!$B$19*$B$6+Supuestos!$B$20*$F$6)*(1+Supuestos!$B$8)^(A81-1)</f>
        <v>4800477.0277150646</v>
      </c>
      <c r="I81" s="61">
        <f>IF(A81&lt;=Supuestos!$J$30,$K$76*(1-Supuestos!$B$11)^A81*Supuestos!$I$30*(1+Supuestos!$B$9)^(A81-1),0)</f>
        <v>2302214.7578255958</v>
      </c>
      <c r="J81" s="61">
        <f>E81*Supuestos!$K$30</f>
        <v>0</v>
      </c>
      <c r="K81" s="61">
        <f>D81-I81+E81-J81+F81-IF(A81&lt;=Supuestos!$J$30,0,Supuestos!$B$19*$B$6*(1+Supuestos!$B$8)^(A81-1))</f>
        <v>2790642.2034494681</v>
      </c>
      <c r="L81" s="61">
        <f>I81+J81-IF(A81&lt;=Supuestos!$J$30,(Supuestos!$B$19*$B$6+Supuestos!$B$20*$F$6),Supuestos!$B$20*$F$6)*(1+Supuestos!$B$8)^(A81-1)</f>
        <v>2009834.8242655958</v>
      </c>
    </row>
    <row r="82" spans="1:12" x14ac:dyDescent="0.3">
      <c r="A82" s="12">
        <v>4</v>
      </c>
      <c r="B82" s="59" t="str">
        <f>IF(A82&lt;=(Supuestos!$B$22-Supuestos!$B$24),"Autoabasto","CFE pleno")</f>
        <v>Autoabasto</v>
      </c>
      <c r="C82" s="61">
        <f>IF(A82&lt;=(Supuestos!$B$22-Supuestos!$B$24),$B$12,$B$10)*(1+Supuestos!$B$8)^A82</f>
        <v>20192456.450940933</v>
      </c>
      <c r="D82" s="61">
        <f>IF(A82&lt;=(Supuestos!$B$22-Supuestos!$B$24),$C$76,$E$76)*(1+Supuestos!$B$8)^A82*(1-Supuestos!$B$11)^A82</f>
        <v>4620556.3629284957</v>
      </c>
      <c r="E82" s="61">
        <f>$G$76*(1+Supuestos!$B$8)^A82*(1-Supuestos!$B$12)^A82*Supuestos!$B$10</f>
        <v>0</v>
      </c>
      <c r="F82" s="61">
        <f>$I$76*(1+Supuestos!$B$8)^A82</f>
        <v>754653.13982745132</v>
      </c>
      <c r="G82" s="61">
        <f t="shared" si="25"/>
        <v>14817246.948184988</v>
      </c>
      <c r="H82" s="61">
        <f>D82+E82+F82-(Supuestos!$B$19*$B$6+Supuestos!$B$20*$F$6)*(1+Supuestos!$B$8)^(A82-1)</f>
        <v>5065286.7731823474</v>
      </c>
      <c r="I82" s="61">
        <f>IF(A82&lt;=Supuestos!$J$30,$K$76*(1-Supuestos!$B$11)^A82*Supuestos!$I$30*(1+Supuestos!$B$9)^(A82-1),0)</f>
        <v>2405238.8682382917</v>
      </c>
      <c r="J82" s="61">
        <f>E82*Supuestos!$K$30</f>
        <v>0</v>
      </c>
      <c r="K82" s="61">
        <f>D82-I82+E82-J82+F82-IF(A82&lt;=Supuestos!$J$30,0,Supuestos!$B$19*$B$6*(1+Supuestos!$B$8)^(A82-1))</f>
        <v>2969970.6345176552</v>
      </c>
      <c r="L82" s="61">
        <f>I82+J82-IF(A82&lt;=Supuestos!$J$30,(Supuestos!$B$19*$B$6+Supuestos!$B$20*$F$6),Supuestos!$B$20*$F$6)*(1+Supuestos!$B$8)^(A82-1)</f>
        <v>2095316.1386646917</v>
      </c>
    </row>
    <row r="83" spans="1:12" x14ac:dyDescent="0.3">
      <c r="A83" s="12">
        <v>5</v>
      </c>
      <c r="B83" s="59" t="str">
        <f>IF(A83&lt;=(Supuestos!$B$22-Supuestos!$B$24),"Autoabasto","CFE pleno")</f>
        <v>Autoabasto</v>
      </c>
      <c r="C83" s="61">
        <f>IF(A83&lt;=(Supuestos!$B$22-Supuestos!$B$24),$B$12,$B$10)*(1+Supuestos!$B$8)^A83</f>
        <v>21404003.837997392</v>
      </c>
      <c r="D83" s="61">
        <f>IF(A83&lt;=(Supuestos!$B$22-Supuestos!$B$24),$C$76,$E$76)*(1+Supuestos!$B$8)^A83*(1-Supuestos!$B$11)^A83</f>
        <v>4873300.7959806845</v>
      </c>
      <c r="E83" s="61">
        <f>$G$76*(1+Supuestos!$B$8)^A83*(1-Supuestos!$B$12)^A83*Supuestos!$B$10</f>
        <v>0</v>
      </c>
      <c r="F83" s="61">
        <f>$I$76*(1+Supuestos!$B$8)^A83</f>
        <v>799932.32821709849</v>
      </c>
      <c r="G83" s="61">
        <f t="shared" si="25"/>
        <v>15730770.713799609</v>
      </c>
      <c r="H83" s="61">
        <f>D83+E83+F83-(Supuestos!$B$19*$B$6+Supuestos!$B$20*$F$6)*(1+Supuestos!$B$8)^(A83-1)</f>
        <v>5344715.0308497669</v>
      </c>
      <c r="I83" s="61">
        <f>IF(A83&lt;=Supuestos!$J$30,$K$76*(1-Supuestos!$B$11)^A83*Supuestos!$I$30*(1+Supuestos!$B$9)^(A83-1),0)</f>
        <v>2512873.3075919547</v>
      </c>
      <c r="J83" s="61">
        <f>E83*Supuestos!$K$30</f>
        <v>0</v>
      </c>
      <c r="K83" s="61">
        <f>D83-I83+E83-J83+F83-IF(A83&lt;=Supuestos!$J$30,0,Supuestos!$B$19*$B$6*(1+Supuestos!$B$8)^(A83-1))</f>
        <v>3160359.8166058282</v>
      </c>
      <c r="L83" s="61">
        <f>I83+J83-IF(A83&lt;=Supuestos!$J$30,(Supuestos!$B$19*$B$6+Supuestos!$B$20*$F$6),Supuestos!$B$20*$F$6)*(1+Supuestos!$B$8)^(A83-1)</f>
        <v>2184355.2142439387</v>
      </c>
    </row>
    <row r="84" spans="1:12" x14ac:dyDescent="0.3">
      <c r="A84" s="12">
        <v>6</v>
      </c>
      <c r="B84" s="59" t="str">
        <f>IF(A84&lt;=(Supuestos!$B$22-Supuestos!$B$24),"Autoabasto","CFE pleno")</f>
        <v>Autoabasto</v>
      </c>
      <c r="C84" s="61">
        <f>IF(A84&lt;=(Supuestos!$B$22-Supuestos!$B$24),$B$12,$B$10)*(1+Supuestos!$B$8)^A84</f>
        <v>22688244.068277236</v>
      </c>
      <c r="D84" s="61">
        <f>IF(A84&lt;=(Supuestos!$B$22-Supuestos!$B$24),$C$76,$E$76)*(1+Supuestos!$B$8)^A84*(1-Supuestos!$B$11)^A84</f>
        <v>5139870.3495208295</v>
      </c>
      <c r="E84" s="61">
        <f>$G$76*(1+Supuestos!$B$8)^A84*(1-Supuestos!$B$12)^A84*Supuestos!$B$10</f>
        <v>0</v>
      </c>
      <c r="F84" s="61">
        <f>$I$76*(1+Supuestos!$B$8)^A84</f>
        <v>847928.2679101245</v>
      </c>
      <c r="G84" s="61">
        <f t="shared" si="25"/>
        <v>16700445.450846283</v>
      </c>
      <c r="H84" s="61">
        <f>D84+E84+F84-(Supuestos!$B$19*$B$6+Supuestos!$B$20*$F$6)*(1+Supuestos!$B$8)^(A84-1)</f>
        <v>5639569.4384820573</v>
      </c>
      <c r="I84" s="61">
        <f>IF(A84&lt;=Supuestos!$J$30,$K$76*(1-Supuestos!$B$11)^A84*Supuestos!$I$30*(1+Supuestos!$B$9)^(A84-1),0)</f>
        <v>2625324.3881066954</v>
      </c>
      <c r="J84" s="61">
        <f>E84*Supuestos!$K$30</f>
        <v>0</v>
      </c>
      <c r="K84" s="61">
        <f>D84-I84+E84-J84+F84-IF(A84&lt;=Supuestos!$J$30,0,Supuestos!$B$19*$B$6*(1+Supuestos!$B$8)^(A84-1))</f>
        <v>3362474.2293242589</v>
      </c>
      <c r="L84" s="61">
        <f>I84+J84-IF(A84&lt;=Supuestos!$J$30,(Supuestos!$B$19*$B$6+Supuestos!$B$20*$F$6),Supuestos!$B$20*$F$6)*(1+Supuestos!$B$8)^(A84-1)</f>
        <v>2277095.2091577984</v>
      </c>
    </row>
    <row r="85" spans="1:12" x14ac:dyDescent="0.3">
      <c r="A85" s="12">
        <v>7</v>
      </c>
      <c r="B85" s="59" t="str">
        <f>IF(A85&lt;=(Supuestos!$B$22-Supuestos!$B$24),"Autoabasto","CFE pleno")</f>
        <v>CFE pleno</v>
      </c>
      <c r="C85" s="61">
        <f>IF(A85&lt;=(Supuestos!$B$22-Supuestos!$B$24),$B$12,$B$10)*(1+Supuestos!$B$8)^A85</f>
        <v>24049538.712373875</v>
      </c>
      <c r="D85" s="61">
        <f>IF(A85&lt;=(Supuestos!$B$22-Supuestos!$B$24),$C$76,$E$76)*(1+Supuestos!$B$8)^A85*(1-Supuestos!$B$11)^A85</f>
        <v>5421021.2576396186</v>
      </c>
      <c r="E85" s="61">
        <f>$G$76*(1+Supuestos!$B$8)^A85*(1-Supuestos!$B$12)^A85*Supuestos!$B$10</f>
        <v>0</v>
      </c>
      <c r="F85" s="61">
        <f>$I$76*(1+Supuestos!$B$8)^A85</f>
        <v>898803.96398473205</v>
      </c>
      <c r="G85" s="61">
        <f t="shared" si="25"/>
        <v>17729713.490749527</v>
      </c>
      <c r="H85" s="61">
        <f>D85+E85+F85-(Supuestos!$B$19*$B$6+Supuestos!$B$20*$F$6)*(1+Supuestos!$B$8)^(A85-1)</f>
        <v>5950702.2919385191</v>
      </c>
      <c r="I85" s="61">
        <f>IF(A85&lt;=Supuestos!$J$30,$K$76*(1-Supuestos!$B$11)^A85*Supuestos!$I$30*(1+Supuestos!$B$9)^(A85-1),0)</f>
        <v>2742807.6544744689</v>
      </c>
      <c r="J85" s="61">
        <f>E85*Supuestos!$K$30</f>
        <v>0</v>
      </c>
      <c r="K85" s="61">
        <f>D85-I85+E85-J85+F85-IF(A85&lt;=Supuestos!$J$30,0,Supuestos!$B$19*$B$6*(1+Supuestos!$B$8)^(A85-1))</f>
        <v>3577017.5671498817</v>
      </c>
      <c r="L85" s="61">
        <f>I85+J85-IF(A85&lt;=Supuestos!$J$30,(Supuestos!$B$19*$B$6+Supuestos!$B$20*$F$6),Supuestos!$B$20*$F$6)*(1+Supuestos!$B$8)^(A85-1)</f>
        <v>2373684.7247886378</v>
      </c>
    </row>
    <row r="86" spans="1:12" x14ac:dyDescent="0.3">
      <c r="A86" s="12">
        <v>8</v>
      </c>
      <c r="B86" s="59" t="str">
        <f>IF(A86&lt;=(Supuestos!$B$22-Supuestos!$B$24),"Autoabasto","CFE pleno")</f>
        <v>CFE pleno</v>
      </c>
      <c r="C86" s="61">
        <f>IF(A86&lt;=(Supuestos!$B$22-Supuestos!$B$24),$B$12,$B$10)*(1+Supuestos!$B$8)^A86</f>
        <v>25492511.035116304</v>
      </c>
      <c r="D86" s="61">
        <f>IF(A86&lt;=(Supuestos!$B$22-Supuestos!$B$24),$C$76,$E$76)*(1+Supuestos!$B$8)^A86*(1-Supuestos!$B$11)^A86</f>
        <v>5717551.1204325054</v>
      </c>
      <c r="E86" s="61">
        <f>$G$76*(1+Supuestos!$B$8)^A86*(1-Supuestos!$B$12)^A86*Supuestos!$B$10</f>
        <v>0</v>
      </c>
      <c r="F86" s="61">
        <f>$I$76*(1+Supuestos!$B$8)^A86</f>
        <v>952732.20182381594</v>
      </c>
      <c r="G86" s="61">
        <f t="shared" si="25"/>
        <v>18822227.712859981</v>
      </c>
      <c r="H86" s="61">
        <f>D86+E86+F86-(Supuestos!$B$19*$B$6+Supuestos!$B$20*$F$6)*(1+Supuestos!$B$8)^(A86-1)</f>
        <v>6279013.0167893404</v>
      </c>
      <c r="I86" s="61">
        <f>IF(A86&lt;=Supuestos!$J$30,$K$76*(1-Supuestos!$B$11)^A86*Supuestos!$I$30*(1+Supuestos!$B$9)^(A86-1),0)</f>
        <v>2865548.297012202</v>
      </c>
      <c r="J86" s="61">
        <f>E86*Supuestos!$K$30</f>
        <v>0</v>
      </c>
      <c r="K86" s="61">
        <f>D86-I86+E86-J86+F86-IF(A86&lt;=Supuestos!$J$30,0,Supuestos!$B$19*$B$6*(1+Supuestos!$B$8)^(A86-1))</f>
        <v>3804735.0252441196</v>
      </c>
      <c r="L86" s="61">
        <f>I86+J86-IF(A86&lt;=Supuestos!$J$30,(Supuestos!$B$19*$B$6+Supuestos!$B$20*$F$6),Supuestos!$B$20*$F$6)*(1+Supuestos!$B$8)^(A86-1)</f>
        <v>2474277.9915452213</v>
      </c>
    </row>
    <row r="87" spans="1:12" x14ac:dyDescent="0.3">
      <c r="A87" s="12">
        <v>9</v>
      </c>
      <c r="B87" s="59" t="str">
        <f>IF(A87&lt;=(Supuestos!$B$22-Supuestos!$B$24),"Autoabasto","CFE pleno")</f>
        <v>CFE pleno</v>
      </c>
      <c r="C87" s="61">
        <f>IF(A87&lt;=(Supuestos!$B$22-Supuestos!$B$24),$B$12,$B$10)*(1+Supuestos!$B$8)^A87</f>
        <v>27022061.697223283</v>
      </c>
      <c r="D87" s="61">
        <f>IF(A87&lt;=(Supuestos!$B$22-Supuestos!$B$24),$C$76,$E$76)*(1+Supuestos!$B$8)^A87*(1-Supuestos!$B$11)^A87</f>
        <v>6030301.1667201631</v>
      </c>
      <c r="E87" s="61">
        <f>$G$76*(1+Supuestos!$B$8)^A87*(1-Supuestos!$B$12)^A87*Supuestos!$B$10</f>
        <v>0</v>
      </c>
      <c r="F87" s="61">
        <f>$I$76*(1+Supuestos!$B$8)^A87</f>
        <v>1009896.1339332449</v>
      </c>
      <c r="G87" s="61">
        <f t="shared" si="25"/>
        <v>19981864.396569874</v>
      </c>
      <c r="H87" s="61">
        <f>D87+E87+F87-(Supuestos!$B$19*$B$6+Supuestos!$B$20*$F$6)*(1+Supuestos!$B$8)^(A87-1)</f>
        <v>6625450.7768584089</v>
      </c>
      <c r="I87" s="61">
        <f>IF(A87&lt;=Supuestos!$J$30,$K$76*(1-Supuestos!$B$11)^A87*Supuestos!$I$30*(1+Supuestos!$B$9)^(A87-1),0)</f>
        <v>2993781.5833034976</v>
      </c>
      <c r="J87" s="61">
        <f>E87*Supuestos!$K$30</f>
        <v>0</v>
      </c>
      <c r="K87" s="61">
        <f>D87-I87+E87-J87+F87-IF(A87&lt;=Supuestos!$J$30,0,Supuestos!$B$19*$B$6*(1+Supuestos!$B$8)^(A87-1))</f>
        <v>4046415.7173499102</v>
      </c>
      <c r="L87" s="61">
        <f>I87+J87-IF(A87&lt;=Supuestos!$J$30,(Supuestos!$B$19*$B$6+Supuestos!$B$20*$F$6),Supuestos!$B$20*$F$6)*(1+Supuestos!$B$8)^(A87-1)</f>
        <v>2579035.0595084978</v>
      </c>
    </row>
    <row r="88" spans="1:12" x14ac:dyDescent="0.3">
      <c r="A88" s="12">
        <v>10</v>
      </c>
      <c r="B88" s="59" t="str">
        <f>IF(A88&lt;=(Supuestos!$B$22-Supuestos!$B$24),"Autoabasto","CFE pleno")</f>
        <v>CFE pleno</v>
      </c>
      <c r="C88" s="61">
        <f>IF(A88&lt;=(Supuestos!$B$22-Supuestos!$B$24),$B$12,$B$10)*(1+Supuestos!$B$8)^A88</f>
        <v>28643385.399056681</v>
      </c>
      <c r="D88" s="61">
        <f>IF(A88&lt;=(Supuestos!$B$22-Supuestos!$B$24),$C$76,$E$76)*(1+Supuestos!$B$8)^A88*(1-Supuestos!$B$11)^A88</f>
        <v>6360158.640539757</v>
      </c>
      <c r="E88" s="61">
        <f>$G$76*(1+Supuestos!$B$8)^A88*(1-Supuestos!$B$12)^A88*Supuestos!$B$10</f>
        <v>0</v>
      </c>
      <c r="F88" s="61">
        <f>$I$76*(1+Supuestos!$B$8)^A88</f>
        <v>1070489.9019692396</v>
      </c>
      <c r="G88" s="61">
        <f t="shared" si="25"/>
        <v>21212736.856547683</v>
      </c>
      <c r="H88" s="61">
        <f>D88+E88+F88-(Supuestos!$B$19*$B$6+Supuestos!$B$20*$F$6)*(1+Supuestos!$B$8)^(A88-1)</f>
        <v>6991017.2272862978</v>
      </c>
      <c r="I88" s="61">
        <f>IF(A88&lt;=Supuestos!$J$30,$K$76*(1-Supuestos!$B$11)^A88*Supuestos!$I$30*(1+Supuestos!$B$9)^(A88-1),0)</f>
        <v>3127753.3091563294</v>
      </c>
      <c r="J88" s="61">
        <f>E88*Supuestos!$K$30</f>
        <v>0</v>
      </c>
      <c r="K88" s="61">
        <f>D88-I88+E88-J88+F88-IF(A88&lt;=Supuestos!$J$30,0,Supuestos!$B$19*$B$6*(1+Supuestos!$B$8)^(A88-1))</f>
        <v>4302895.2333526667</v>
      </c>
      <c r="L88" s="61">
        <f>I88+J88-IF(A88&lt;=Supuestos!$J$30,(Supuestos!$B$19*$B$6+Supuestos!$B$20*$F$6),Supuestos!$B$20*$F$6)*(1+Supuestos!$B$8)^(A88-1)</f>
        <v>2688121.9939336297</v>
      </c>
    </row>
    <row r="89" spans="1:12" x14ac:dyDescent="0.3">
      <c r="A89" s="12">
        <v>11</v>
      </c>
      <c r="B89" s="59" t="str">
        <f>IF(A89&lt;=(Supuestos!$B$22-Supuestos!$B$24),"Autoabasto","CFE pleno")</f>
        <v>CFE pleno</v>
      </c>
      <c r="C89" s="61">
        <f>IF(A89&lt;=(Supuestos!$B$22-Supuestos!$B$24),$B$12,$B$10)*(1+Supuestos!$B$8)^A89</f>
        <v>30361988.523000088</v>
      </c>
      <c r="D89" s="61">
        <f>IF(A89&lt;=(Supuestos!$B$22-Supuestos!$B$24),$C$76,$E$76)*(1+Supuestos!$B$8)^A89*(1-Supuestos!$B$11)^A89</f>
        <v>6708059.3181772828</v>
      </c>
      <c r="E89" s="61">
        <f>$G$76*(1+Supuestos!$B$8)^A89*(1-Supuestos!$B$12)^A89*Supuestos!$B$10</f>
        <v>0</v>
      </c>
      <c r="F89" s="61">
        <f>$I$76*(1+Supuestos!$B$8)^A89</f>
        <v>1134719.2960873942</v>
      </c>
      <c r="G89" s="61">
        <f t="shared" si="25"/>
        <v>22519209.908735409</v>
      </c>
      <c r="H89" s="61">
        <f>D89+E89+F89-(Supuestos!$B$19*$B$6+Supuestos!$B$20*$F$6)*(1+Supuestos!$B$8)^(A89-1)</f>
        <v>7376769.4201286156</v>
      </c>
      <c r="I89" s="61">
        <f>IF(A89&lt;=Supuestos!$J$30,$K$76*(1-Supuestos!$B$11)^A89*Supuestos!$I$30*(1+Supuestos!$B$9)^(A89-1),0)</f>
        <v>3267720.2697410751</v>
      </c>
      <c r="J89" s="61">
        <f>E89*Supuestos!$K$30</f>
        <v>0</v>
      </c>
      <c r="K89" s="61">
        <f>D89-I89+E89-J89+F89-IF(A89&lt;=Supuestos!$J$30,0,Supuestos!$B$19*$B$6*(1+Supuestos!$B$8)^(A89-1))</f>
        <v>4575058.3445236022</v>
      </c>
      <c r="L89" s="61">
        <f>I89+J89-IF(A89&lt;=Supuestos!$J$30,(Supuestos!$B$19*$B$6+Supuestos!$B$20*$F$6),Supuestos!$B$20*$F$6)*(1+Supuestos!$B$8)^(A89-1)</f>
        <v>2801711.0756050134</v>
      </c>
    </row>
    <row r="90" spans="1:12" x14ac:dyDescent="0.3">
      <c r="A90" s="12">
        <v>12</v>
      </c>
      <c r="B90" s="59" t="str">
        <f>IF(A90&lt;=(Supuestos!$B$22-Supuestos!$B$24),"Autoabasto","CFE pleno")</f>
        <v>CFE pleno</v>
      </c>
      <c r="C90" s="61">
        <f>IF(A90&lt;=(Supuestos!$B$22-Supuestos!$B$24),$B$12,$B$10)*(1+Supuestos!$B$8)^A90</f>
        <v>32183707.834380094</v>
      </c>
      <c r="D90" s="61">
        <f>IF(A90&lt;=(Supuestos!$B$22-Supuestos!$B$24),$C$76,$E$76)*(1+Supuestos!$B$8)^A90*(1-Supuestos!$B$11)^A90</f>
        <v>7074990.1628815802</v>
      </c>
      <c r="E90" s="61">
        <f>$G$76*(1+Supuestos!$B$8)^A90*(1-Supuestos!$B$12)^A90*Supuestos!$B$10</f>
        <v>0</v>
      </c>
      <c r="F90" s="61">
        <f>$I$76*(1+Supuestos!$B$8)^A90</f>
        <v>1202802.4538526379</v>
      </c>
      <c r="G90" s="61">
        <f t="shared" si="25"/>
        <v>23905915.217645876</v>
      </c>
      <c r="H90" s="61">
        <f>D90+E90+F90-(Supuestos!$B$19*$B$6+Supuestos!$B$20*$F$6)*(1+Supuestos!$B$8)^(A90-1)</f>
        <v>7783822.8709499929</v>
      </c>
      <c r="I90" s="61">
        <f>IF(A90&lt;=Supuestos!$J$30,$K$76*(1-Supuestos!$B$11)^A90*Supuestos!$I$30*(1+Supuestos!$B$9)^(A90-1),0)</f>
        <v>3413950.7518119891</v>
      </c>
      <c r="J90" s="61">
        <f>E90*Supuestos!$K$30</f>
        <v>0</v>
      </c>
      <c r="K90" s="61">
        <f>D90-I90+E90-J90+F90-IF(A90&lt;=Supuestos!$J$30,0,Supuestos!$B$19*$B$6*(1+Supuestos!$B$8)^(A90-1))</f>
        <v>4863841.8649222292</v>
      </c>
      <c r="L90" s="61">
        <f>I90+J90-IF(A90&lt;=Supuestos!$J$30,(Supuestos!$B$19*$B$6+Supuestos!$B$20*$F$6),Supuestos!$B$20*$F$6)*(1+Supuestos!$B$8)^(A90-1)</f>
        <v>2919981.0060277637</v>
      </c>
    </row>
    <row r="91" spans="1:12" x14ac:dyDescent="0.3">
      <c r="A91" s="12">
        <v>13</v>
      </c>
      <c r="B91" s="59" t="str">
        <f>IF(A91&lt;=(Supuestos!$B$22-Supuestos!$B$24),"Autoabasto","CFE pleno")</f>
        <v>CFE pleno</v>
      </c>
      <c r="C91" s="61">
        <f>IF(A91&lt;=(Supuestos!$B$22-Supuestos!$B$24),$B$12,$B$10)*(1+Supuestos!$B$8)^A91</f>
        <v>34114730.304442905</v>
      </c>
      <c r="D91" s="61">
        <f>IF(A91&lt;=(Supuestos!$B$22-Supuestos!$B$24),$C$76,$E$76)*(1+Supuestos!$B$8)^A91*(1-Supuestos!$B$11)^A91</f>
        <v>7461992.1247912049</v>
      </c>
      <c r="E91" s="61">
        <f>$G$76*(1+Supuestos!$B$8)^A91*(1-Supuestos!$B$12)^A91*Supuestos!$B$10</f>
        <v>0</v>
      </c>
      <c r="F91" s="61">
        <f>$I$76*(1+Supuestos!$B$8)^A91</f>
        <v>1274970.6010837962</v>
      </c>
      <c r="G91" s="61">
        <f t="shared" si="25"/>
        <v>25377767.578567903</v>
      </c>
      <c r="H91" s="61">
        <f>D91+E91+F91-(Supuestos!$B$19*$B$6+Supuestos!$B$20*$F$6)*(1+Supuestos!$B$8)^(A91-1)</f>
        <v>8213354.7953437222</v>
      </c>
      <c r="I91" s="61">
        <f>IF(A91&lt;=Supuestos!$J$30,$K$76*(1-Supuestos!$B$11)^A91*Supuestos!$I$30*(1+Supuestos!$B$9)^(A91-1),0)</f>
        <v>3566725.0479555749</v>
      </c>
      <c r="J91" s="61">
        <f>E91*Supuestos!$K$30</f>
        <v>0</v>
      </c>
      <c r="K91" s="61">
        <f>D91-I91+E91-J91+F91-IF(A91&lt;=Supuestos!$J$30,0,Supuestos!$B$19*$B$6*(1+Supuestos!$B$8)^(A91-1))</f>
        <v>5170237.677919426</v>
      </c>
      <c r="L91" s="61">
        <f>I91+J91-IF(A91&lt;=Supuestos!$J$30,(Supuestos!$B$19*$B$6+Supuestos!$B$20*$F$6),Supuestos!$B$20*$F$6)*(1+Supuestos!$B$8)^(A91-1)</f>
        <v>3043117.1174242962</v>
      </c>
    </row>
    <row r="92" spans="1:12" x14ac:dyDescent="0.3">
      <c r="A92" s="12">
        <v>14</v>
      </c>
      <c r="B92" s="59" t="str">
        <f>IF(A92&lt;=(Supuestos!$B$22-Supuestos!$B$24),"Autoabasto","CFE pleno")</f>
        <v>CFE pleno</v>
      </c>
      <c r="C92" s="61">
        <f>IF(A92&lt;=(Supuestos!$B$22-Supuestos!$B$24),$B$12,$B$10)*(1+Supuestos!$B$8)^A92</f>
        <v>36161614.122709475</v>
      </c>
      <c r="D92" s="61">
        <f>IF(A92&lt;=(Supuestos!$B$22-Supuestos!$B$24),$C$76,$E$76)*(1+Supuestos!$B$8)^A92*(1-Supuestos!$B$11)^A92</f>
        <v>7870163.0940172831</v>
      </c>
      <c r="E92" s="61">
        <f>$G$76*(1+Supuestos!$B$8)^A92*(1-Supuestos!$B$12)^A92*Supuestos!$B$10</f>
        <v>0</v>
      </c>
      <c r="F92" s="61">
        <f>$I$76*(1+Supuestos!$B$8)^A92</f>
        <v>1351468.837148824</v>
      </c>
      <c r="G92" s="61">
        <f t="shared" si="25"/>
        <v>26939982.19154337</v>
      </c>
      <c r="H92" s="61">
        <f>D92+E92+F92-(Supuestos!$B$19*$B$6+Supuestos!$B$20*$F$6)*(1+Supuestos!$B$8)^(A92-1)</f>
        <v>8666607.5248029511</v>
      </c>
      <c r="I92" s="61">
        <f>IF(A92&lt;=Supuestos!$J$30,$K$76*(1-Supuestos!$B$11)^A92*Supuestos!$I$30*(1+Supuestos!$B$9)^(A92-1),0)</f>
        <v>3726335.9938515881</v>
      </c>
      <c r="J92" s="61">
        <f>E92*Supuestos!$K$30</f>
        <v>0</v>
      </c>
      <c r="K92" s="61">
        <f>D92-I92+E92-J92+F92-IF(A92&lt;=Supuestos!$J$30,0,Supuestos!$B$19*$B$6*(1+Supuestos!$B$8)^(A92-1))</f>
        <v>5495295.9373145187</v>
      </c>
      <c r="L92" s="61">
        <f>I92+J92-IF(A92&lt;=Supuestos!$J$30,(Supuestos!$B$19*$B$6+Supuestos!$B$20*$F$6),Supuestos!$B$20*$F$6)*(1+Supuestos!$B$8)^(A92-1)</f>
        <v>3171311.5874884324</v>
      </c>
    </row>
    <row r="93" spans="1:12" x14ac:dyDescent="0.3">
      <c r="A93" s="12">
        <v>15</v>
      </c>
      <c r="B93" s="59" t="str">
        <f>IF(A93&lt;=(Supuestos!$B$22-Supuestos!$B$24),"Autoabasto","CFE pleno")</f>
        <v>CFE pleno</v>
      </c>
      <c r="C93" s="61">
        <f>IF(A93&lt;=(Supuestos!$B$22-Supuestos!$B$24),$B$12,$B$10)*(1+Supuestos!$B$8)^A93</f>
        <v>38331310.970072053</v>
      </c>
      <c r="D93" s="61">
        <f>IF(A93&lt;=(Supuestos!$B$22-Supuestos!$B$24),$C$76,$E$76)*(1+Supuestos!$B$8)^A93*(1-Supuestos!$B$11)^A93</f>
        <v>8300661.0152600296</v>
      </c>
      <c r="E93" s="61">
        <f>$G$76*(1+Supuestos!$B$8)^A93*(1-Supuestos!$B$12)^A93*Supuestos!$B$10</f>
        <v>0</v>
      </c>
      <c r="F93" s="61">
        <f>$I$76*(1+Supuestos!$B$8)^A93</f>
        <v>1432556.9673777539</v>
      </c>
      <c r="G93" s="61">
        <f t="shared" si="25"/>
        <v>28598092.987434268</v>
      </c>
      <c r="H93" s="61">
        <f>D93+E93+F93-(Supuestos!$B$19*$B$6+Supuestos!$B$20*$F$6)*(1+Supuestos!$B$8)^(A93-1)</f>
        <v>9144892.111892838</v>
      </c>
      <c r="I93" s="61">
        <f>IF(A93&lt;=Supuestos!$J$30,$K$76*(1-Supuestos!$B$11)^A93*Supuestos!$I$30*(1+Supuestos!$B$9)^(A93-1),0)</f>
        <v>3893089.529576445</v>
      </c>
      <c r="J93" s="61">
        <f>E93*Supuestos!$K$30</f>
        <v>0</v>
      </c>
      <c r="K93" s="61">
        <f>D93-I93+E93-J93+F93-IF(A93&lt;=Supuestos!$J$30,0,Supuestos!$B$19*$B$6*(1+Supuestos!$B$8)^(A93-1))</f>
        <v>5840128.4530613385</v>
      </c>
      <c r="L93" s="61">
        <f>I93+J93-IF(A93&lt;=Supuestos!$J$30,(Supuestos!$B$19*$B$6+Supuestos!$B$20*$F$6),Supuestos!$B$20*$F$6)*(1+Supuestos!$B$8)^(A93-1)</f>
        <v>3304763.6588315</v>
      </c>
    </row>
    <row r="94" spans="1:12" x14ac:dyDescent="0.3">
      <c r="A94" s="12">
        <v>16</v>
      </c>
      <c r="B94" s="59" t="str">
        <f>IF(A94&lt;=(Supuestos!$B$22-Supuestos!$B$24),"Autoabasto","CFE pleno")</f>
        <v>CFE pleno</v>
      </c>
      <c r="C94" s="61">
        <f>IF(A94&lt;=(Supuestos!$B$22-Supuestos!$B$24),$B$12,$B$10)*(1+Supuestos!$B$8)^A94</f>
        <v>40631189.62827637</v>
      </c>
      <c r="D94" s="61">
        <f>IF(A94&lt;=(Supuestos!$B$22-Supuestos!$B$24),$C$76,$E$76)*(1+Supuestos!$B$8)^A94*(1-Supuestos!$B$11)^A94</f>
        <v>8754707.1727947518</v>
      </c>
      <c r="E94" s="61">
        <f>$G$76*(1+Supuestos!$B$8)^A94*(1-Supuestos!$B$12)^A94*Supuestos!$B$10</f>
        <v>0</v>
      </c>
      <c r="F94" s="61">
        <f>$I$76*(1+Supuestos!$B$8)^A94</f>
        <v>1518510.3854204188</v>
      </c>
      <c r="G94" s="61">
        <f t="shared" si="25"/>
        <v>30357972.070061199</v>
      </c>
      <c r="H94" s="61">
        <f>D94+E94+F94-(Supuestos!$B$19*$B$6+Supuestos!$B$20*$F$6)*(1+Supuestos!$B$8)^(A94-1)</f>
        <v>9649592.1352255289</v>
      </c>
      <c r="I94" s="61">
        <f>IF(A94&lt;=Supuestos!$J$30,$K$76*(1-Supuestos!$B$11)^A94*Supuestos!$I$30*(1+Supuestos!$B$9)^(A94-1),0)</f>
        <v>0</v>
      </c>
      <c r="J94" s="61">
        <f>E94*Supuestos!$K$30</f>
        <v>0</v>
      </c>
      <c r="K94" s="61">
        <f>D94-I94+E94-J94+F94-IF(A94&lt;=Supuestos!$J$30,0,Supuestos!$B$19*$B$6*(1+Supuestos!$B$8)^(A94-1))</f>
        <v>9649592.1352255289</v>
      </c>
      <c r="L94" s="61">
        <f>I94+J94-IF(A94&lt;=Supuestos!$J$30,(Supuestos!$B$19*$B$6+Supuestos!$B$20*$F$6),Supuestos!$B$20*$F$6)*(1+Supuestos!$B$8)^(A94-1)</f>
        <v>0</v>
      </c>
    </row>
    <row r="95" spans="1:12" x14ac:dyDescent="0.3">
      <c r="A95" s="12">
        <v>17</v>
      </c>
      <c r="B95" s="59" t="str">
        <f>IF(A95&lt;=(Supuestos!$B$22-Supuestos!$B$24),"Autoabasto","CFE pleno")</f>
        <v>CFE pleno</v>
      </c>
      <c r="C95" s="61">
        <f>IF(A95&lt;=(Supuestos!$B$22-Supuestos!$B$24),$B$12,$B$10)*(1+Supuestos!$B$8)^A95</f>
        <v>43069061.005972959</v>
      </c>
      <c r="D95" s="61">
        <f>IF(A95&lt;=(Supuestos!$B$22-Supuestos!$B$24),$C$76,$E$76)*(1+Supuestos!$B$8)^A95*(1-Supuestos!$B$11)^A95</f>
        <v>9233589.6551466268</v>
      </c>
      <c r="E95" s="61">
        <f>$G$76*(1+Supuestos!$B$8)^A95*(1-Supuestos!$B$12)^A95*Supuestos!$B$10</f>
        <v>0</v>
      </c>
      <c r="F95" s="61">
        <f>$I$76*(1+Supuestos!$B$8)^A95</f>
        <v>1609621.0085456441</v>
      </c>
      <c r="G95" s="61">
        <f t="shared" si="25"/>
        <v>32225850.342280686</v>
      </c>
      <c r="H95" s="61">
        <f>D95+E95+F95-(Supuestos!$B$19*$B$6+Supuestos!$B$20*$F$6)*(1+Supuestos!$B$8)^(A95-1)</f>
        <v>10182167.715323251</v>
      </c>
      <c r="I95" s="61">
        <f>IF(A95&lt;=Supuestos!$J$30,$K$76*(1-Supuestos!$B$11)^A95*Supuestos!$I$30*(1+Supuestos!$B$9)^(A95-1),0)</f>
        <v>0</v>
      </c>
      <c r="J95" s="61">
        <f>E95*Supuestos!$K$30</f>
        <v>0</v>
      </c>
      <c r="K95" s="61">
        <f>D95-I95+E95-J95+F95-IF(A95&lt;=Supuestos!$J$30,0,Supuestos!$B$19*$B$6*(1+Supuestos!$B$8)^(A95-1))</f>
        <v>10182167.715323251</v>
      </c>
      <c r="L95" s="61">
        <f>I95+J95-IF(A95&lt;=Supuestos!$J$30,(Supuestos!$B$19*$B$6+Supuestos!$B$20*$F$6),Supuestos!$B$20*$F$6)*(1+Supuestos!$B$8)^(A95-1)</f>
        <v>0</v>
      </c>
    </row>
    <row r="96" spans="1:12" x14ac:dyDescent="0.3">
      <c r="A96" s="12">
        <v>18</v>
      </c>
      <c r="B96" s="59" t="str">
        <f>IF(A96&lt;=(Supuestos!$B$22-Supuestos!$B$24),"Autoabasto","CFE pleno")</f>
        <v>CFE pleno</v>
      </c>
      <c r="C96" s="61">
        <f>IF(A96&lt;=(Supuestos!$B$22-Supuestos!$B$24),$B$12,$B$10)*(1+Supuestos!$B$8)^A96</f>
        <v>45653204.666331336</v>
      </c>
      <c r="D96" s="61">
        <f>IF(A96&lt;=(Supuestos!$B$22-Supuestos!$B$24),$C$76,$E$76)*(1+Supuestos!$B$8)^A96*(1-Supuestos!$B$11)^A96</f>
        <v>9738667.0092831478</v>
      </c>
      <c r="E96" s="61">
        <f>$G$76*(1+Supuestos!$B$8)^A96*(1-Supuestos!$B$12)^A96*Supuestos!$B$10</f>
        <v>0</v>
      </c>
      <c r="F96" s="61">
        <f>$I$76*(1+Supuestos!$B$8)^A96</f>
        <v>1706198.2690583826</v>
      </c>
      <c r="G96" s="61">
        <f t="shared" si="25"/>
        <v>34208339.387989804</v>
      </c>
      <c r="H96" s="61">
        <f>D96+E96+F96-(Supuestos!$B$19*$B$6+Supuestos!$B$20*$F$6)*(1+Supuestos!$B$8)^(A96-1)</f>
        <v>10744159.753070368</v>
      </c>
      <c r="I96" s="61">
        <f>IF(A96&lt;=Supuestos!$J$30,$K$76*(1-Supuestos!$B$11)^A96*Supuestos!$I$30*(1+Supuestos!$B$9)^(A96-1),0)</f>
        <v>0</v>
      </c>
      <c r="J96" s="61">
        <f>E96*Supuestos!$K$30</f>
        <v>0</v>
      </c>
      <c r="K96" s="61">
        <f>D96-I96+E96-J96+F96-IF(A96&lt;=Supuestos!$J$30,0,Supuestos!$B$19*$B$6*(1+Supuestos!$B$8)^(A96-1))</f>
        <v>10744159.753070368</v>
      </c>
      <c r="L96" s="61">
        <f>I96+J96-IF(A96&lt;=Supuestos!$J$30,(Supuestos!$B$19*$B$6+Supuestos!$B$20*$F$6),Supuestos!$B$20*$F$6)*(1+Supuestos!$B$8)^(A96-1)</f>
        <v>0</v>
      </c>
    </row>
    <row r="97" spans="1:12" x14ac:dyDescent="0.3">
      <c r="A97" s="12">
        <v>19</v>
      </c>
      <c r="B97" s="59" t="str">
        <f>IF(A97&lt;=(Supuestos!$B$22-Supuestos!$B$24),"Autoabasto","CFE pleno")</f>
        <v>CFE pleno</v>
      </c>
      <c r="C97" s="61">
        <f>IF(A97&lt;=(Supuestos!$B$22-Supuestos!$B$24),$B$12,$B$10)*(1+Supuestos!$B$8)^A97</f>
        <v>48392396.946311221</v>
      </c>
      <c r="D97" s="61">
        <f>IF(A97&lt;=(Supuestos!$B$22-Supuestos!$B$24),$C$76,$E$76)*(1+Supuestos!$B$8)^A97*(1-Supuestos!$B$11)^A97</f>
        <v>10271372.094690936</v>
      </c>
      <c r="E97" s="61">
        <f>$G$76*(1+Supuestos!$B$8)^A97*(1-Supuestos!$B$12)^A97*Supuestos!$B$10</f>
        <v>0</v>
      </c>
      <c r="F97" s="61">
        <f>$I$76*(1+Supuestos!$B$8)^A97</f>
        <v>1808570.1652018859</v>
      </c>
      <c r="G97" s="61">
        <f t="shared" si="25"/>
        <v>36312454.686418399</v>
      </c>
      <c r="H97" s="61">
        <f>D97+E97+F97-(Supuestos!$B$19*$B$6+Supuestos!$B$20*$F$6)*(1+Supuestos!$B$8)^(A97-1)</f>
        <v>11337194.403105389</v>
      </c>
      <c r="I97" s="61">
        <f>IF(A97&lt;=Supuestos!$J$30,$K$76*(1-Supuestos!$B$11)^A97*Supuestos!$I$30*(1+Supuestos!$B$9)^(A97-1),0)</f>
        <v>0</v>
      </c>
      <c r="J97" s="61">
        <f>E97*Supuestos!$K$30</f>
        <v>0</v>
      </c>
      <c r="K97" s="61">
        <f>D97-I97+E97-J97+F97-IF(A97&lt;=Supuestos!$J$30,0,Supuestos!$B$19*$B$6*(1+Supuestos!$B$8)^(A97-1))</f>
        <v>11337194.403105389</v>
      </c>
      <c r="L97" s="61">
        <f>I97+J97-IF(A97&lt;=Supuestos!$J$30,(Supuestos!$B$19*$B$6+Supuestos!$B$20*$F$6),Supuestos!$B$20*$F$6)*(1+Supuestos!$B$8)^(A97-1)</f>
        <v>0</v>
      </c>
    </row>
    <row r="98" spans="1:12" x14ac:dyDescent="0.3">
      <c r="A98" s="12">
        <v>20</v>
      </c>
      <c r="B98" s="59" t="str">
        <f>IF(A98&lt;=(Supuestos!$B$22-Supuestos!$B$24),"Autoabasto","CFE pleno")</f>
        <v>CFE pleno</v>
      </c>
      <c r="C98" s="61">
        <f>IF(A98&lt;=(Supuestos!$B$22-Supuestos!$B$24),$B$12,$B$10)*(1+Supuestos!$B$8)^A98</f>
        <v>51295940.763089888</v>
      </c>
      <c r="D98" s="61">
        <f>IF(A98&lt;=(Supuestos!$B$22-Supuestos!$B$24),$C$76,$E$76)*(1+Supuestos!$B$8)^A98*(1-Supuestos!$B$11)^A98</f>
        <v>10833216.148270531</v>
      </c>
      <c r="E98" s="61">
        <f>$G$76*(1+Supuestos!$B$8)^A98*(1-Supuestos!$B$12)^A98*Supuestos!$B$10</f>
        <v>0</v>
      </c>
      <c r="F98" s="61">
        <f>$I$76*(1+Supuestos!$B$8)^A98</f>
        <v>1917084.375113999</v>
      </c>
      <c r="G98" s="61">
        <f t="shared" si="25"/>
        <v>38545640.239705354</v>
      </c>
      <c r="H98" s="61">
        <f>D98+E98+F98-(Supuestos!$B$19*$B$6+Supuestos!$B$20*$F$6)*(1+Supuestos!$B$8)^(A98-1)</f>
        <v>11962987.795189854</v>
      </c>
      <c r="I98" s="61">
        <f>IF(A98&lt;=Supuestos!$J$30,$K$76*(1-Supuestos!$B$11)^A98*Supuestos!$I$30*(1+Supuestos!$B$9)^(A98-1),0)</f>
        <v>0</v>
      </c>
      <c r="J98" s="61">
        <f>E98*Supuestos!$K$30</f>
        <v>0</v>
      </c>
      <c r="K98" s="61">
        <f>D98-I98+E98-J98+F98-IF(A98&lt;=Supuestos!$J$30,0,Supuestos!$B$19*$B$6*(1+Supuestos!$B$8)^(A98-1))</f>
        <v>11962987.795189854</v>
      </c>
      <c r="L98" s="61">
        <f>I98+J98-IF(A98&lt;=Supuestos!$J$30,(Supuestos!$B$19*$B$6+Supuestos!$B$20*$F$6),Supuestos!$B$20*$F$6)*(1+Supuestos!$B$8)^(A98-1)</f>
        <v>0</v>
      </c>
    </row>
    <row r="99" spans="1:12" x14ac:dyDescent="0.3">
      <c r="A99" s="69" t="s">
        <v>212</v>
      </c>
      <c r="H99" s="73">
        <f>SUM(H79:H98)</f>
        <v>150618992.4654353</v>
      </c>
      <c r="K99" s="73">
        <f>SUM(K79:K98)</f>
        <v>112919614.50729914</v>
      </c>
      <c r="L99" s="73">
        <f>SUM(L79:L98)</f>
        <v>37699377.958136149</v>
      </c>
    </row>
    <row r="100" spans="1:12" x14ac:dyDescent="0.3">
      <c r="F100" s="69" t="s">
        <v>213</v>
      </c>
      <c r="G100" s="74">
        <f>IRR(H78:H98)</f>
        <v>0.4359692322611084</v>
      </c>
      <c r="I100" s="69" t="s">
        <v>214</v>
      </c>
      <c r="K100" s="75">
        <f>NPV(Supuestos!$B$7,H79:H98)+H78</f>
        <v>35027263.508660614</v>
      </c>
    </row>
    <row r="101" spans="1:12" x14ac:dyDescent="0.3">
      <c r="F101" s="69" t="s">
        <v>215</v>
      </c>
      <c r="G101" s="74">
        <f>IRR(L78:L98)</f>
        <v>0.18090211762494435</v>
      </c>
      <c r="I101" s="69" t="s">
        <v>216</v>
      </c>
      <c r="K101" s="75">
        <f>NPV(Supuestos!$B$7,K79:K98)+K78</f>
        <v>30609435.958462313</v>
      </c>
    </row>
    <row r="102" spans="1:12" x14ac:dyDescent="0.3">
      <c r="A102" s="63" t="s">
        <v>217</v>
      </c>
    </row>
    <row r="104" spans="1:12" ht="18" customHeight="1" x14ac:dyDescent="0.3">
      <c r="A104" s="3" t="s">
        <v>218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x14ac:dyDescent="0.3">
      <c r="A105" s="34" t="s">
        <v>219</v>
      </c>
      <c r="B105" s="34" t="s">
        <v>220</v>
      </c>
      <c r="C105" s="34" t="s">
        <v>221</v>
      </c>
    </row>
    <row r="106" spans="1:12" x14ac:dyDescent="0.3">
      <c r="A106" s="23" t="s">
        <v>222</v>
      </c>
      <c r="B106" s="76">
        <f>B26+B25+D25</f>
        <v>11298734.125</v>
      </c>
      <c r="C106" s="76">
        <v>0</v>
      </c>
      <c r="D106" s="5" t="s">
        <v>223</v>
      </c>
    </row>
    <row r="107" spans="1:12" x14ac:dyDescent="0.3">
      <c r="A107" s="23" t="s">
        <v>224</v>
      </c>
      <c r="B107" s="76">
        <f>H79</f>
        <v>4311691.884407213</v>
      </c>
      <c r="C107" s="76">
        <f>K79</f>
        <v>2462692.9029052546</v>
      </c>
    </row>
    <row r="108" spans="1:12" x14ac:dyDescent="0.3">
      <c r="A108" s="23" t="s">
        <v>225</v>
      </c>
      <c r="B108" s="76">
        <f>H99</f>
        <v>150618992.4654353</v>
      </c>
      <c r="C108" s="76">
        <f>SUM(K79:K98)</f>
        <v>112919614.50729914</v>
      </c>
    </row>
    <row r="109" spans="1:12" x14ac:dyDescent="0.3">
      <c r="A109" s="23" t="s">
        <v>226</v>
      </c>
      <c r="B109" s="77">
        <f>G100</f>
        <v>0.4359692322611084</v>
      </c>
      <c r="C109" s="77">
        <f>G101</f>
        <v>0.18090211762494435</v>
      </c>
    </row>
    <row r="110" spans="1:12" x14ac:dyDescent="0.3">
      <c r="A110" s="23" t="s">
        <v>227</v>
      </c>
      <c r="B110" s="78" t="s">
        <v>228</v>
      </c>
      <c r="C110" s="15">
        <f>Supuestos!$I$30</f>
        <v>1.6838</v>
      </c>
    </row>
    <row r="111" spans="1:12" x14ac:dyDescent="0.3">
      <c r="A111" s="23" t="s">
        <v>229</v>
      </c>
      <c r="C111" s="79">
        <f>Supuestos!$J$30</f>
        <v>15</v>
      </c>
    </row>
    <row r="113" spans="1:12" ht="18" customHeight="1" x14ac:dyDescent="0.3">
      <c r="A113" s="3" t="s">
        <v>230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ht="15" customHeight="1" x14ac:dyDescent="0.3">
      <c r="A114" s="100" t="s">
        <v>244</v>
      </c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</row>
    <row r="115" spans="1:12" x14ac:dyDescent="0.3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</row>
    <row r="116" spans="1:12" x14ac:dyDescent="0.3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</row>
    <row r="117" spans="1:12" x14ac:dyDescent="0.3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</row>
    <row r="118" spans="1:12" x14ac:dyDescent="0.3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</row>
    <row r="119" spans="1:12" x14ac:dyDescent="0.3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</row>
  </sheetData>
  <mergeCells count="1">
    <mergeCell ref="A114:L1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19"/>
  <sheetViews>
    <sheetView showGridLines="0" zoomScaleNormal="100" workbookViewId="0">
      <pane ySplit="3" topLeftCell="A79" activePane="bottomLeft" state="frozen"/>
      <selection pane="bottomLeft" activeCell="B6" sqref="B6"/>
    </sheetView>
  </sheetViews>
  <sheetFormatPr defaultColWidth="8.6640625" defaultRowHeight="14.4" x14ac:dyDescent="0.3"/>
  <cols>
    <col min="1" max="1" width="34" customWidth="1"/>
    <col min="2" max="18" width="12" customWidth="1"/>
  </cols>
  <sheetData>
    <row r="1" spans="1:12" ht="16.8" x14ac:dyDescent="0.3">
      <c r="A1" s="20" t="s">
        <v>245</v>
      </c>
    </row>
    <row r="2" spans="1:12" x14ac:dyDescent="0.3">
      <c r="A2" s="5" t="s">
        <v>246</v>
      </c>
    </row>
    <row r="3" spans="1:12" x14ac:dyDescent="0.3">
      <c r="A3" s="29" t="s">
        <v>247</v>
      </c>
    </row>
    <row r="5" spans="1:12" ht="18" customHeight="1" x14ac:dyDescent="0.3">
      <c r="A5" s="3" t="s">
        <v>102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3">
      <c r="A6" s="10" t="s">
        <v>85</v>
      </c>
      <c r="B6" s="30">
        <f>Supuestos!$B$31</f>
        <v>839.41</v>
      </c>
      <c r="C6" s="10" t="s">
        <v>86</v>
      </c>
      <c r="D6" s="30">
        <f>Supuestos!$C$31</f>
        <v>501</v>
      </c>
      <c r="E6" s="10" t="s">
        <v>87</v>
      </c>
      <c r="F6" s="30">
        <f>Supuestos!$D$31</f>
        <v>980</v>
      </c>
      <c r="G6" s="23" t="s">
        <v>103</v>
      </c>
      <c r="H6" s="31">
        <f>Supuestos!$D$31*Supuestos!$B$17*SQRT(Supuestos!$B$18)</f>
        <v>921.79198000416545</v>
      </c>
      <c r="I6" s="10" t="s">
        <v>104</v>
      </c>
      <c r="J6" s="32" t="str">
        <f>Supuestos!$E$31</f>
        <v>No</v>
      </c>
      <c r="K6" s="5" t="s">
        <v>105</v>
      </c>
      <c r="L6" s="33">
        <f>$B$10/(SUM(P45:P56)+SUM(R30:R41))</f>
        <v>1.0000000000478331</v>
      </c>
    </row>
    <row r="8" spans="1:12" ht="18" customHeight="1" x14ac:dyDescent="0.3">
      <c r="A8" s="3" t="s">
        <v>106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3">
      <c r="A9" s="34" t="s">
        <v>107</v>
      </c>
      <c r="B9" s="34" t="s">
        <v>108</v>
      </c>
      <c r="C9" s="34" t="s">
        <v>109</v>
      </c>
      <c r="D9" s="34" t="s">
        <v>110</v>
      </c>
      <c r="E9" s="34" t="s">
        <v>111</v>
      </c>
    </row>
    <row r="10" spans="1:12" x14ac:dyDescent="0.3">
      <c r="A10" s="10" t="s">
        <v>112</v>
      </c>
      <c r="B10" s="35">
        <v>36585608.740000002</v>
      </c>
      <c r="C10" s="36">
        <f>B10/D10</f>
        <v>2.245990924714667</v>
      </c>
      <c r="D10" s="31">
        <v>16289295</v>
      </c>
      <c r="E10" s="5" t="s">
        <v>113</v>
      </c>
    </row>
    <row r="11" spans="1:12" x14ac:dyDescent="0.3">
      <c r="A11" s="23" t="s">
        <v>248</v>
      </c>
      <c r="B11" s="37">
        <v>4407279.53</v>
      </c>
      <c r="E11" s="5" t="s">
        <v>249</v>
      </c>
    </row>
    <row r="12" spans="1:12" x14ac:dyDescent="0.3">
      <c r="A12" s="38" t="s">
        <v>116</v>
      </c>
      <c r="B12" s="39">
        <f>B10-B11</f>
        <v>32178329.210000001</v>
      </c>
      <c r="C12" s="40">
        <f>B12/D12</f>
        <v>1.975427985680166</v>
      </c>
      <c r="D12" s="41">
        <f>D10</f>
        <v>16289295</v>
      </c>
      <c r="E12" s="42"/>
    </row>
    <row r="13" spans="1:12" x14ac:dyDescent="0.3">
      <c r="A13" s="5" t="s">
        <v>117</v>
      </c>
      <c r="B13" s="43">
        <v>5255585.9000000004</v>
      </c>
      <c r="C13" s="33">
        <f>B13/D13</f>
        <v>2.4595533518500754</v>
      </c>
      <c r="D13" s="44">
        <v>2136805</v>
      </c>
    </row>
    <row r="14" spans="1:12" x14ac:dyDescent="0.3">
      <c r="A14" s="5" t="s">
        <v>250</v>
      </c>
      <c r="B14" s="43">
        <v>26922743.309999999</v>
      </c>
      <c r="C14" s="33">
        <f>B14/D14</f>
        <v>1.9023326149674014</v>
      </c>
      <c r="D14" s="44">
        <v>14152490</v>
      </c>
    </row>
    <row r="15" spans="1:12" x14ac:dyDescent="0.3">
      <c r="A15" s="2" t="s">
        <v>251</v>
      </c>
      <c r="B15" s="80">
        <f>D13/D12</f>
        <v>0.13117848255556794</v>
      </c>
      <c r="C15" s="2" t="s">
        <v>252</v>
      </c>
      <c r="D15" s="80">
        <f>D14/D12</f>
        <v>0.86882151744443203</v>
      </c>
      <c r="E15" s="2" t="s">
        <v>253</v>
      </c>
    </row>
    <row r="16" spans="1:12" x14ac:dyDescent="0.3">
      <c r="A16" s="45" t="s">
        <v>119</v>
      </c>
    </row>
    <row r="17" spans="1:18" x14ac:dyDescent="0.3">
      <c r="A17" s="23" t="s">
        <v>120</v>
      </c>
      <c r="B17" s="37">
        <f>F72</f>
        <v>2532058.2861989937</v>
      </c>
      <c r="D17" s="31">
        <f>C72</f>
        <v>1393504.541</v>
      </c>
      <c r="E17" s="5" t="s">
        <v>121</v>
      </c>
    </row>
    <row r="18" spans="1:18" x14ac:dyDescent="0.3">
      <c r="A18" s="23" t="s">
        <v>122</v>
      </c>
      <c r="B18" s="37">
        <f>G72</f>
        <v>1985136.9837735177</v>
      </c>
    </row>
    <row r="19" spans="1:18" x14ac:dyDescent="0.3">
      <c r="A19" s="23" t="s">
        <v>123</v>
      </c>
      <c r="B19" s="37">
        <f>H72</f>
        <v>0</v>
      </c>
      <c r="E19" s="5" t="s">
        <v>124</v>
      </c>
    </row>
    <row r="20" spans="1:18" x14ac:dyDescent="0.3">
      <c r="A20" s="46" t="s">
        <v>125</v>
      </c>
      <c r="B20" s="35">
        <f>B12-B17-B18-B19</f>
        <v>27661133.94002749</v>
      </c>
      <c r="C20" s="47"/>
      <c r="D20" s="47"/>
      <c r="E20" s="47"/>
    </row>
    <row r="21" spans="1:18" x14ac:dyDescent="0.3">
      <c r="A21" s="48" t="s">
        <v>126</v>
      </c>
      <c r="B21" s="49">
        <f>B17+B18+B19</f>
        <v>4517195.2699725116</v>
      </c>
      <c r="C21" s="50">
        <f>B21/B12</f>
        <v>0.1403800439883843</v>
      </c>
    </row>
    <row r="22" spans="1:18" x14ac:dyDescent="0.3">
      <c r="A22" s="48" t="s">
        <v>127</v>
      </c>
      <c r="B22" s="49">
        <f>B10-B20</f>
        <v>8924474.7999725118</v>
      </c>
      <c r="C22" s="50">
        <f>B22/B10</f>
        <v>0.2439340250806091</v>
      </c>
    </row>
    <row r="24" spans="1:18" ht="18" customHeight="1" x14ac:dyDescent="0.3">
      <c r="A24" s="3" t="s">
        <v>128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8" x14ac:dyDescent="0.3">
      <c r="A25" s="23" t="s">
        <v>129</v>
      </c>
      <c r="B25" s="37">
        <f>$B$6*1000*Supuestos!$F$31*Supuestos!$B$5</f>
        <v>11048734.125</v>
      </c>
      <c r="C25" s="23" t="s">
        <v>130</v>
      </c>
      <c r="D25" s="37">
        <f>$F$6*Supuestos!$G$31*Supuestos!$B$5</f>
        <v>4815720</v>
      </c>
    </row>
    <row r="26" spans="1:18" x14ac:dyDescent="0.3">
      <c r="A26" s="23" t="s">
        <v>131</v>
      </c>
      <c r="B26" s="51">
        <f>Supuestos!$H$31</f>
        <v>0</v>
      </c>
      <c r="C26" s="10" t="s">
        <v>132</v>
      </c>
      <c r="D26" s="35">
        <f>B25+D25+B26</f>
        <v>15864454.125</v>
      </c>
      <c r="E26" s="2" t="s">
        <v>133</v>
      </c>
    </row>
    <row r="28" spans="1:18" ht="18" customHeight="1" x14ac:dyDescent="0.3">
      <c r="A28" s="3" t="s">
        <v>134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ht="25.5" customHeight="1" x14ac:dyDescent="0.3">
      <c r="A29" s="52" t="s">
        <v>135</v>
      </c>
      <c r="B29" s="52" t="s">
        <v>136</v>
      </c>
      <c r="C29" s="52" t="s">
        <v>137</v>
      </c>
      <c r="D29" s="52" t="s">
        <v>138</v>
      </c>
      <c r="E29" s="52" t="s">
        <v>139</v>
      </c>
      <c r="F29" s="52" t="s">
        <v>140</v>
      </c>
      <c r="G29" s="52" t="s">
        <v>141</v>
      </c>
      <c r="H29" s="52" t="s">
        <v>142</v>
      </c>
      <c r="I29" s="52" t="s">
        <v>143</v>
      </c>
      <c r="J29" s="52" t="s">
        <v>144</v>
      </c>
      <c r="K29" s="52" t="s">
        <v>145</v>
      </c>
      <c r="L29" s="52" t="s">
        <v>146</v>
      </c>
      <c r="M29" s="52" t="s">
        <v>147</v>
      </c>
      <c r="N29" s="52" t="s">
        <v>148</v>
      </c>
      <c r="O29" s="52" t="s">
        <v>149</v>
      </c>
      <c r="P29" s="52" t="s">
        <v>150</v>
      </c>
      <c r="Q29" s="52" t="s">
        <v>151</v>
      </c>
      <c r="R29" s="52" t="s">
        <v>152</v>
      </c>
    </row>
    <row r="30" spans="1:18" x14ac:dyDescent="0.3">
      <c r="A30" s="53" t="s">
        <v>153</v>
      </c>
      <c r="B30" s="54">
        <v>455237</v>
      </c>
      <c r="C30" s="54">
        <v>729971</v>
      </c>
      <c r="D30" s="54">
        <v>183178</v>
      </c>
      <c r="E30" s="54">
        <v>31</v>
      </c>
      <c r="F30" s="54">
        <v>1892</v>
      </c>
      <c r="G30" s="54">
        <v>1930</v>
      </c>
      <c r="H30" s="55">
        <v>1.8196749999999999</v>
      </c>
      <c r="I30" s="55">
        <v>1.1066499999999999</v>
      </c>
      <c r="J30" s="55">
        <v>2.1272000000000002</v>
      </c>
      <c r="K30" s="54">
        <v>402.07249999999999</v>
      </c>
      <c r="L30" s="56">
        <v>86.15</v>
      </c>
      <c r="M30" s="54">
        <v>703.36</v>
      </c>
      <c r="N30" s="55">
        <v>142.80000000000001</v>
      </c>
      <c r="O30" s="57">
        <v>1</v>
      </c>
      <c r="P30" s="54">
        <v>4</v>
      </c>
      <c r="Q30" s="54">
        <v>22</v>
      </c>
      <c r="R30" s="58">
        <v>0</v>
      </c>
    </row>
    <row r="31" spans="1:18" x14ac:dyDescent="0.3">
      <c r="A31" s="53" t="s">
        <v>154</v>
      </c>
      <c r="B31" s="54">
        <v>476589</v>
      </c>
      <c r="C31" s="54">
        <v>681958</v>
      </c>
      <c r="D31" s="54">
        <v>167798</v>
      </c>
      <c r="E31" s="54">
        <v>28</v>
      </c>
      <c r="F31" s="54">
        <v>1903</v>
      </c>
      <c r="G31" s="54">
        <v>1936</v>
      </c>
      <c r="H31" s="55">
        <v>1.8196749999999999</v>
      </c>
      <c r="I31" s="55">
        <v>1.1066499999999999</v>
      </c>
      <c r="J31" s="55">
        <v>2.1272000000000002</v>
      </c>
      <c r="K31" s="54">
        <v>402.07249999999999</v>
      </c>
      <c r="L31" s="56">
        <v>86.15</v>
      </c>
      <c r="M31" s="54">
        <v>703.36</v>
      </c>
      <c r="N31" s="55">
        <v>139.1</v>
      </c>
      <c r="O31" s="57">
        <v>1</v>
      </c>
      <c r="P31" s="54">
        <v>4</v>
      </c>
      <c r="Q31" s="54">
        <v>19</v>
      </c>
      <c r="R31" s="58">
        <v>0</v>
      </c>
    </row>
    <row r="32" spans="1:18" x14ac:dyDescent="0.3">
      <c r="A32" s="53" t="s">
        <v>155</v>
      </c>
      <c r="B32" s="54">
        <v>535513</v>
      </c>
      <c r="C32" s="54">
        <v>750251</v>
      </c>
      <c r="D32" s="54">
        <v>182294</v>
      </c>
      <c r="E32" s="54">
        <v>31</v>
      </c>
      <c r="F32" s="54">
        <v>1771</v>
      </c>
      <c r="G32" s="54">
        <v>1793</v>
      </c>
      <c r="H32" s="55">
        <v>1.8196749999999999</v>
      </c>
      <c r="I32" s="55">
        <v>1.1066499999999999</v>
      </c>
      <c r="J32" s="55">
        <v>2.1272000000000002</v>
      </c>
      <c r="K32" s="54">
        <v>402.07249999999999</v>
      </c>
      <c r="L32" s="56">
        <v>86.15</v>
      </c>
      <c r="M32" s="54">
        <v>703.36</v>
      </c>
      <c r="N32" s="55">
        <v>170.1</v>
      </c>
      <c r="O32" s="57">
        <v>1</v>
      </c>
      <c r="P32" s="54">
        <v>4</v>
      </c>
      <c r="Q32" s="54">
        <v>20</v>
      </c>
      <c r="R32" s="58">
        <v>0</v>
      </c>
    </row>
    <row r="33" spans="1:18" x14ac:dyDescent="0.3">
      <c r="A33" s="53" t="s">
        <v>156</v>
      </c>
      <c r="B33" s="54">
        <v>497333</v>
      </c>
      <c r="C33" s="54">
        <v>867045</v>
      </c>
      <c r="D33" s="54">
        <v>108027</v>
      </c>
      <c r="E33" s="54">
        <v>30</v>
      </c>
      <c r="F33" s="54">
        <v>1579</v>
      </c>
      <c r="G33" s="54">
        <v>1622</v>
      </c>
      <c r="H33" s="55">
        <v>1.8196749999999999</v>
      </c>
      <c r="I33" s="55">
        <v>1.1066499999999999</v>
      </c>
      <c r="J33" s="55">
        <v>2.1272000000000002</v>
      </c>
      <c r="K33" s="54">
        <v>402.07249999999999</v>
      </c>
      <c r="L33" s="56">
        <v>86.15</v>
      </c>
      <c r="M33" s="54">
        <v>703.36</v>
      </c>
      <c r="N33" s="55">
        <v>150.69999999999999</v>
      </c>
      <c r="O33" s="57">
        <v>1</v>
      </c>
      <c r="P33" s="54">
        <v>2</v>
      </c>
      <c r="Q33" s="54">
        <v>22</v>
      </c>
      <c r="R33" s="58">
        <v>-15843.7</v>
      </c>
    </row>
    <row r="34" spans="1:18" x14ac:dyDescent="0.3">
      <c r="A34" s="53" t="s">
        <v>157</v>
      </c>
      <c r="B34" s="54">
        <v>546627</v>
      </c>
      <c r="C34" s="54">
        <v>924218</v>
      </c>
      <c r="D34" s="54">
        <v>89553</v>
      </c>
      <c r="E34" s="54">
        <v>31</v>
      </c>
      <c r="F34" s="54">
        <v>1654</v>
      </c>
      <c r="G34" s="54">
        <v>1700</v>
      </c>
      <c r="H34" s="55">
        <v>1.8196749999999999</v>
      </c>
      <c r="I34" s="55">
        <v>1.1066499999999999</v>
      </c>
      <c r="J34" s="55">
        <v>2.1272000000000002</v>
      </c>
      <c r="K34" s="54">
        <v>402.07249999999999</v>
      </c>
      <c r="L34" s="56">
        <v>86.15</v>
      </c>
      <c r="M34" s="54">
        <v>703.36</v>
      </c>
      <c r="N34" s="55">
        <v>143.1</v>
      </c>
      <c r="O34" s="57">
        <v>1</v>
      </c>
      <c r="P34" s="54">
        <v>2</v>
      </c>
      <c r="Q34" s="54">
        <v>21</v>
      </c>
      <c r="R34" s="58">
        <v>-18059.939999999999</v>
      </c>
    </row>
    <row r="35" spans="1:18" x14ac:dyDescent="0.3">
      <c r="A35" s="53" t="s">
        <v>158</v>
      </c>
      <c r="B35" s="54">
        <v>467527</v>
      </c>
      <c r="C35" s="54">
        <v>810870</v>
      </c>
      <c r="D35" s="54">
        <v>82141</v>
      </c>
      <c r="E35" s="54">
        <v>30</v>
      </c>
      <c r="F35" s="54">
        <v>1465</v>
      </c>
      <c r="G35" s="54">
        <v>1532</v>
      </c>
      <c r="H35" s="55">
        <v>1.8196749999999999</v>
      </c>
      <c r="I35" s="55">
        <v>1.1066499999999999</v>
      </c>
      <c r="J35" s="55">
        <v>2.1272000000000002</v>
      </c>
      <c r="K35" s="54">
        <v>402.07249999999999</v>
      </c>
      <c r="L35" s="56">
        <v>86.15</v>
      </c>
      <c r="M35" s="54">
        <v>703.36</v>
      </c>
      <c r="N35" s="55">
        <v>133.9</v>
      </c>
      <c r="O35" s="57">
        <v>1</v>
      </c>
      <c r="P35" s="54">
        <v>2</v>
      </c>
      <c r="Q35" s="54">
        <v>21</v>
      </c>
      <c r="R35" s="58">
        <v>-6803.62</v>
      </c>
    </row>
    <row r="36" spans="1:18" x14ac:dyDescent="0.3">
      <c r="A36" s="53" t="s">
        <v>159</v>
      </c>
      <c r="B36" s="54">
        <v>414209</v>
      </c>
      <c r="C36" s="54">
        <v>746631</v>
      </c>
      <c r="D36" s="54">
        <v>74300</v>
      </c>
      <c r="E36" s="54">
        <v>31</v>
      </c>
      <c r="F36" s="54">
        <v>1582</v>
      </c>
      <c r="G36" s="54">
        <v>1672</v>
      </c>
      <c r="H36" s="55">
        <v>1.8196749999999999</v>
      </c>
      <c r="I36" s="55">
        <v>1.1066499999999999</v>
      </c>
      <c r="J36" s="55">
        <v>2.1272000000000002</v>
      </c>
      <c r="K36" s="54">
        <v>402.07249999999999</v>
      </c>
      <c r="L36" s="56">
        <v>86.15</v>
      </c>
      <c r="M36" s="54">
        <v>703.36</v>
      </c>
      <c r="N36" s="55">
        <v>135.19999999999999</v>
      </c>
      <c r="O36" s="57">
        <v>1</v>
      </c>
      <c r="P36" s="54">
        <v>2</v>
      </c>
      <c r="Q36" s="54">
        <v>23</v>
      </c>
      <c r="R36" s="58">
        <v>-3279.85</v>
      </c>
    </row>
    <row r="37" spans="1:18" x14ac:dyDescent="0.3">
      <c r="A37" s="53" t="s">
        <v>160</v>
      </c>
      <c r="B37" s="54">
        <v>511027</v>
      </c>
      <c r="C37" s="54">
        <v>868483</v>
      </c>
      <c r="D37" s="54">
        <v>84864</v>
      </c>
      <c r="E37" s="54">
        <v>31</v>
      </c>
      <c r="F37" s="54">
        <v>1515</v>
      </c>
      <c r="G37" s="54">
        <v>1568</v>
      </c>
      <c r="H37" s="55">
        <v>1.8196749999999999</v>
      </c>
      <c r="I37" s="55">
        <v>1.1066499999999999</v>
      </c>
      <c r="J37" s="55">
        <v>2.1272000000000002</v>
      </c>
      <c r="K37" s="54">
        <v>402.07249999999999</v>
      </c>
      <c r="L37" s="56">
        <v>86.15</v>
      </c>
      <c r="M37" s="54">
        <v>703.36</v>
      </c>
      <c r="N37" s="55">
        <v>126.5</v>
      </c>
      <c r="O37" s="57">
        <v>1</v>
      </c>
      <c r="P37" s="54">
        <v>2</v>
      </c>
      <c r="Q37" s="54">
        <v>21</v>
      </c>
      <c r="R37" s="58">
        <v>-8395.35</v>
      </c>
    </row>
    <row r="38" spans="1:18" x14ac:dyDescent="0.3">
      <c r="A38" s="53" t="s">
        <v>161</v>
      </c>
      <c r="B38" s="54">
        <v>471225</v>
      </c>
      <c r="C38" s="54">
        <v>799977</v>
      </c>
      <c r="D38" s="54">
        <v>80458</v>
      </c>
      <c r="E38" s="54">
        <v>30</v>
      </c>
      <c r="F38" s="54">
        <v>2279</v>
      </c>
      <c r="G38" s="54">
        <v>2356</v>
      </c>
      <c r="H38" s="55">
        <v>1.8196749999999999</v>
      </c>
      <c r="I38" s="55">
        <v>1.1066499999999999</v>
      </c>
      <c r="J38" s="55">
        <v>2.1272000000000002</v>
      </c>
      <c r="K38" s="54">
        <v>402.07249999999999</v>
      </c>
      <c r="L38" s="56">
        <v>86.15</v>
      </c>
      <c r="M38" s="54">
        <v>703.36</v>
      </c>
      <c r="N38" s="55">
        <v>119.5</v>
      </c>
      <c r="O38" s="57">
        <v>1</v>
      </c>
      <c r="P38" s="54">
        <v>2</v>
      </c>
      <c r="Q38" s="54">
        <v>21</v>
      </c>
      <c r="R38" s="58">
        <v>-486.12</v>
      </c>
    </row>
    <row r="39" spans="1:18" x14ac:dyDescent="0.3">
      <c r="A39" s="53" t="s">
        <v>162</v>
      </c>
      <c r="B39" s="54">
        <v>435183</v>
      </c>
      <c r="C39" s="54">
        <v>788394</v>
      </c>
      <c r="D39" s="54">
        <v>98384</v>
      </c>
      <c r="E39" s="54">
        <v>31</v>
      </c>
      <c r="F39" s="54">
        <v>1750</v>
      </c>
      <c r="G39" s="54">
        <v>1832</v>
      </c>
      <c r="H39" s="55">
        <v>1.8196749999999999</v>
      </c>
      <c r="I39" s="55">
        <v>1.1066499999999999</v>
      </c>
      <c r="J39" s="55">
        <v>2.1272000000000002</v>
      </c>
      <c r="K39" s="54">
        <v>402.07249999999999</v>
      </c>
      <c r="L39" s="56">
        <v>86.15</v>
      </c>
      <c r="M39" s="54">
        <v>703.36</v>
      </c>
      <c r="N39" s="55">
        <v>131.69999999999999</v>
      </c>
      <c r="O39" s="57">
        <v>1</v>
      </c>
      <c r="P39" s="54">
        <v>2</v>
      </c>
      <c r="Q39" s="54">
        <v>23</v>
      </c>
      <c r="R39" s="58">
        <v>-289.26</v>
      </c>
    </row>
    <row r="40" spans="1:18" x14ac:dyDescent="0.3">
      <c r="A40" s="53" t="s">
        <v>163</v>
      </c>
      <c r="B40" s="54">
        <v>431457</v>
      </c>
      <c r="C40" s="54">
        <v>617240</v>
      </c>
      <c r="D40" s="54">
        <v>150654</v>
      </c>
      <c r="E40" s="54">
        <v>30</v>
      </c>
      <c r="F40" s="54">
        <v>2026</v>
      </c>
      <c r="G40" s="54">
        <v>2026</v>
      </c>
      <c r="H40" s="55">
        <v>1.8196749999999999</v>
      </c>
      <c r="I40" s="55">
        <v>1.1066499999999999</v>
      </c>
      <c r="J40" s="55">
        <v>2.1272000000000002</v>
      </c>
      <c r="K40" s="54">
        <v>402.07249999999999</v>
      </c>
      <c r="L40" s="56">
        <v>86.15</v>
      </c>
      <c r="M40" s="54">
        <v>703.36</v>
      </c>
      <c r="N40" s="55">
        <v>136.6</v>
      </c>
      <c r="O40" s="57">
        <v>1</v>
      </c>
      <c r="P40" s="54">
        <v>4</v>
      </c>
      <c r="Q40" s="54">
        <v>19</v>
      </c>
      <c r="R40" s="58">
        <v>0</v>
      </c>
    </row>
    <row r="41" spans="1:18" x14ac:dyDescent="0.3">
      <c r="A41" s="53" t="s">
        <v>164</v>
      </c>
      <c r="B41" s="54">
        <v>395911</v>
      </c>
      <c r="C41" s="54">
        <v>618556</v>
      </c>
      <c r="D41" s="54">
        <v>146212</v>
      </c>
      <c r="E41" s="54">
        <v>31</v>
      </c>
      <c r="F41" s="54">
        <v>2124</v>
      </c>
      <c r="G41" s="54">
        <v>2124</v>
      </c>
      <c r="H41" s="55">
        <v>1.8196749999999999</v>
      </c>
      <c r="I41" s="55">
        <v>1.1066499999999999</v>
      </c>
      <c r="J41" s="55">
        <v>2.1272000000000002</v>
      </c>
      <c r="K41" s="54">
        <v>402.07249999999999</v>
      </c>
      <c r="L41" s="56">
        <v>86.15</v>
      </c>
      <c r="M41" s="54">
        <v>703.36</v>
      </c>
      <c r="N41" s="55">
        <v>130.9</v>
      </c>
      <c r="O41" s="57">
        <v>1</v>
      </c>
      <c r="P41" s="54">
        <v>4</v>
      </c>
      <c r="Q41" s="54">
        <v>22</v>
      </c>
      <c r="R41" s="58">
        <v>-12.55</v>
      </c>
    </row>
    <row r="42" spans="1:18" ht="18" customHeight="1" x14ac:dyDescent="0.3">
      <c r="A42" s="3" t="s">
        <v>165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8" ht="25.5" customHeight="1" x14ac:dyDescent="0.3">
      <c r="A43" s="52" t="s">
        <v>135</v>
      </c>
      <c r="B43" s="52" t="s">
        <v>166</v>
      </c>
      <c r="C43" s="52" t="s">
        <v>167</v>
      </c>
      <c r="D43" s="52" t="s">
        <v>168</v>
      </c>
      <c r="E43" s="52" t="s">
        <v>169</v>
      </c>
      <c r="F43" s="52" t="s">
        <v>170</v>
      </c>
      <c r="G43" s="52" t="s">
        <v>171</v>
      </c>
      <c r="H43" s="52" t="s">
        <v>172</v>
      </c>
      <c r="I43" s="52" t="s">
        <v>173</v>
      </c>
      <c r="J43" s="52" t="s">
        <v>174</v>
      </c>
      <c r="K43" s="52" t="s">
        <v>175</v>
      </c>
      <c r="L43" s="52" t="s">
        <v>176</v>
      </c>
      <c r="M43" s="52" t="s">
        <v>177</v>
      </c>
      <c r="N43" s="52" t="s">
        <v>178</v>
      </c>
      <c r="O43" s="52" t="s">
        <v>179</v>
      </c>
      <c r="P43" s="52" t="s">
        <v>180</v>
      </c>
      <c r="Q43" s="52" t="s">
        <v>181</v>
      </c>
    </row>
    <row r="45" spans="1:18" x14ac:dyDescent="0.3">
      <c r="A45" s="59" t="str">
        <f t="shared" ref="A45:A56" si="0">A30</f>
        <v>Ene</v>
      </c>
      <c r="B45" s="60">
        <f t="shared" ref="B45:B56" si="1">$B$6*N30</f>
        <v>119867.74800000001</v>
      </c>
      <c r="C45" s="60">
        <f>(B30+C30+D30)/(E30*24*Supuestos!$B$16)</f>
        <v>3226.716657234484</v>
      </c>
      <c r="D45" s="60">
        <f t="shared" ref="D45:D56" si="2">MIN(B45*O30,C30)</f>
        <v>119867.74800000001</v>
      </c>
      <c r="E45" s="61">
        <f t="shared" ref="E45:E56" si="3">D45*H30*O45</f>
        <v>218120.3443419</v>
      </c>
      <c r="F45" s="60">
        <f>((B30+C30+D30)-D45)/(E30*24*Supuestos!$B$16)</f>
        <v>2944.0630352763633</v>
      </c>
      <c r="G45" s="60">
        <f t="shared" ref="G45:G56" si="4">MIN(F30,C45)</f>
        <v>1892</v>
      </c>
      <c r="H45" s="60">
        <f t="shared" ref="H45:H56" si="5">MIN(F30,F45)</f>
        <v>1892</v>
      </c>
      <c r="I45" s="61">
        <f t="shared" ref="I45:I56" si="6">(G45-H45)*K30</f>
        <v>0</v>
      </c>
      <c r="J45" s="60">
        <f t="shared" ref="J45:J56" si="7">IF(P30=0,0,MIN($D$6,$H$6/P30))</f>
        <v>230.44799500104136</v>
      </c>
      <c r="K45" s="60">
        <f t="shared" ref="K45:K56" si="8">MIN(MAX(F30-J45,0),F45)</f>
        <v>1661.5520049989586</v>
      </c>
      <c r="L45" s="61">
        <f t="shared" ref="L45:L56" si="9">(H45-K45)*K30</f>
        <v>92656.801470056205</v>
      </c>
      <c r="M45" s="60">
        <f t="shared" ref="M45:M56" si="10">IF(P30=0,0,MIN($H$6*Q30,D30))</f>
        <v>20279.42356009164</v>
      </c>
      <c r="N45" s="61">
        <f>M45*J30-(M45/Supuestos!$B$18)*I30</f>
        <v>19761.073044135883</v>
      </c>
      <c r="O45" s="62">
        <v>1</v>
      </c>
      <c r="P45" s="61">
        <f t="shared" ref="P45:P56" si="11">M30+B30*I30+C30*H30+D30*J30+G45*K30+MIN(G30,C45)*L30</f>
        <v>3149448.2770749996</v>
      </c>
      <c r="Q45" s="61">
        <f t="shared" ref="Q45:Q56" si="12">(E45+I45)+(L45+N45)</f>
        <v>330538.21885609208</v>
      </c>
    </row>
    <row r="46" spans="1:18" x14ac:dyDescent="0.3">
      <c r="A46" s="59" t="str">
        <f t="shared" si="0"/>
        <v>Feb</v>
      </c>
      <c r="B46" s="60">
        <f t="shared" si="1"/>
        <v>116761.931</v>
      </c>
      <c r="C46" s="60">
        <f>(B31+C31+D31)/(E31*24*Supuestos!$B$16)</f>
        <v>3462.6801378446116</v>
      </c>
      <c r="D46" s="60">
        <f t="shared" si="2"/>
        <v>116761.931</v>
      </c>
      <c r="E46" s="61">
        <f t="shared" si="3"/>
        <v>212468.76679242498</v>
      </c>
      <c r="F46" s="60">
        <f>((B31+C31+D31)-D46)/(E31*24*Supuestos!$B$16)</f>
        <v>3157.8505351921472</v>
      </c>
      <c r="G46" s="60">
        <f t="shared" si="4"/>
        <v>1903</v>
      </c>
      <c r="H46" s="60">
        <f t="shared" si="5"/>
        <v>1903</v>
      </c>
      <c r="I46" s="61">
        <f t="shared" si="6"/>
        <v>0</v>
      </c>
      <c r="J46" s="60">
        <f t="shared" si="7"/>
        <v>230.44799500104136</v>
      </c>
      <c r="K46" s="60">
        <f t="shared" si="8"/>
        <v>1672.5520049989586</v>
      </c>
      <c r="L46" s="61">
        <f t="shared" si="9"/>
        <v>92656.801470056205</v>
      </c>
      <c r="M46" s="60">
        <f t="shared" si="10"/>
        <v>17514.047620079145</v>
      </c>
      <c r="N46" s="61">
        <f>M46*J31-(M46/Supuestos!$B$18)*I31</f>
        <v>17066.381265390086</v>
      </c>
      <c r="O46" s="62">
        <v>1</v>
      </c>
      <c r="P46" s="61">
        <f t="shared" si="11"/>
        <v>3057932.7736000004</v>
      </c>
      <c r="Q46" s="61">
        <f t="shared" si="12"/>
        <v>322191.94952787127</v>
      </c>
    </row>
    <row r="47" spans="1:18" x14ac:dyDescent="0.3">
      <c r="A47" s="59" t="str">
        <f t="shared" si="0"/>
        <v>Mar</v>
      </c>
      <c r="B47" s="60">
        <f t="shared" si="1"/>
        <v>142783.641</v>
      </c>
      <c r="C47" s="60">
        <f>(B32+C32+D32)/(E32*24*Supuestos!$B$16)</f>
        <v>3461.7477834370875</v>
      </c>
      <c r="D47" s="60">
        <f t="shared" si="2"/>
        <v>142783.641</v>
      </c>
      <c r="E47" s="61">
        <f t="shared" si="3"/>
        <v>259819.821936675</v>
      </c>
      <c r="F47" s="60">
        <f>((B32+C32+D32)-D47)/(E32*24*Supuestos!$B$16)</f>
        <v>3125.0574396340312</v>
      </c>
      <c r="G47" s="60">
        <f t="shared" si="4"/>
        <v>1771</v>
      </c>
      <c r="H47" s="60">
        <f t="shared" si="5"/>
        <v>1771</v>
      </c>
      <c r="I47" s="61">
        <f t="shared" si="6"/>
        <v>0</v>
      </c>
      <c r="J47" s="60">
        <f t="shared" si="7"/>
        <v>230.44799500104136</v>
      </c>
      <c r="K47" s="60">
        <f t="shared" si="8"/>
        <v>1540.5520049989586</v>
      </c>
      <c r="L47" s="61">
        <f t="shared" si="9"/>
        <v>92656.801470056205</v>
      </c>
      <c r="M47" s="60">
        <f t="shared" si="10"/>
        <v>18435.839600083309</v>
      </c>
      <c r="N47" s="61">
        <f>M47*J32-(M47/Supuestos!$B$18)*I32</f>
        <v>17964.611858305347</v>
      </c>
      <c r="O47" s="62">
        <v>1</v>
      </c>
      <c r="P47" s="61">
        <f t="shared" si="11"/>
        <v>3212854.9541750001</v>
      </c>
      <c r="Q47" s="61">
        <f t="shared" si="12"/>
        <v>370441.23526503658</v>
      </c>
    </row>
    <row r="48" spans="1:18" x14ac:dyDescent="0.3">
      <c r="A48" s="59" t="str">
        <f t="shared" si="0"/>
        <v>Abr</v>
      </c>
      <c r="B48" s="60">
        <f t="shared" si="1"/>
        <v>126499.08699999998</v>
      </c>
      <c r="C48" s="60">
        <f>(B33+C33+D33)/(E33*24*Supuestos!$B$16)</f>
        <v>3587.7314814814818</v>
      </c>
      <c r="D48" s="60">
        <f t="shared" si="2"/>
        <v>126499.08699999998</v>
      </c>
      <c r="E48" s="61">
        <f t="shared" si="3"/>
        <v>230187.22613672496</v>
      </c>
      <c r="F48" s="60">
        <f>((B33+C33+D33)-D48)/(E33*24*Supuestos!$B$16)</f>
        <v>3279.497838693957</v>
      </c>
      <c r="G48" s="60">
        <f t="shared" si="4"/>
        <v>1579</v>
      </c>
      <c r="H48" s="60">
        <f t="shared" si="5"/>
        <v>1579</v>
      </c>
      <c r="I48" s="61">
        <f t="shared" si="6"/>
        <v>0</v>
      </c>
      <c r="J48" s="60">
        <f t="shared" si="7"/>
        <v>460.89599000208273</v>
      </c>
      <c r="K48" s="60">
        <f t="shared" si="8"/>
        <v>1118.1040099979173</v>
      </c>
      <c r="L48" s="61">
        <f t="shared" si="9"/>
        <v>185313.60294011241</v>
      </c>
      <c r="M48" s="60">
        <f t="shared" si="10"/>
        <v>20279.42356009164</v>
      </c>
      <c r="N48" s="61">
        <f>M48*J33-(M48/Supuestos!$B$18)*I33</f>
        <v>19761.073044135883</v>
      </c>
      <c r="O48" s="62">
        <v>1</v>
      </c>
      <c r="P48" s="61">
        <f t="shared" si="11"/>
        <v>3133219.8467250001</v>
      </c>
      <c r="Q48" s="61">
        <f t="shared" si="12"/>
        <v>435261.90212097322</v>
      </c>
    </row>
    <row r="49" spans="1:17" x14ac:dyDescent="0.3">
      <c r="A49" s="59" t="str">
        <f t="shared" si="0"/>
        <v>May</v>
      </c>
      <c r="B49" s="60">
        <f t="shared" si="1"/>
        <v>120119.571</v>
      </c>
      <c r="C49" s="60">
        <f>(B34+C34+D34)/(E34*24*Supuestos!$B$16)</f>
        <v>3679.4897189209582</v>
      </c>
      <c r="D49" s="60">
        <f t="shared" si="2"/>
        <v>120119.571</v>
      </c>
      <c r="E49" s="61">
        <f t="shared" si="3"/>
        <v>218578.58035942499</v>
      </c>
      <c r="F49" s="60">
        <f>((B34+C34+D34)-D49)/(E34*24*Supuestos!$B$16)</f>
        <v>3396.242286832673</v>
      </c>
      <c r="G49" s="60">
        <f t="shared" si="4"/>
        <v>1654</v>
      </c>
      <c r="H49" s="60">
        <f t="shared" si="5"/>
        <v>1654</v>
      </c>
      <c r="I49" s="61">
        <f t="shared" si="6"/>
        <v>0</v>
      </c>
      <c r="J49" s="60">
        <f t="shared" si="7"/>
        <v>460.89599000208273</v>
      </c>
      <c r="K49" s="60">
        <f t="shared" si="8"/>
        <v>1193.1040099979173</v>
      </c>
      <c r="L49" s="61">
        <f t="shared" si="9"/>
        <v>185313.60294011241</v>
      </c>
      <c r="M49" s="60">
        <f t="shared" si="10"/>
        <v>19357.631580087473</v>
      </c>
      <c r="N49" s="61">
        <f>M49*J34-(M49/Supuestos!$B$18)*I34</f>
        <v>18862.842451220618</v>
      </c>
      <c r="O49" s="62">
        <v>1</v>
      </c>
      <c r="P49" s="61">
        <f t="shared" si="11"/>
        <v>3289384.5753000001</v>
      </c>
      <c r="Q49" s="61">
        <f t="shared" si="12"/>
        <v>422755.02575075801</v>
      </c>
    </row>
    <row r="50" spans="1:17" x14ac:dyDescent="0.3">
      <c r="A50" s="59" t="str">
        <f t="shared" si="0"/>
        <v>Jun</v>
      </c>
      <c r="B50" s="60">
        <f t="shared" si="1"/>
        <v>112396.999</v>
      </c>
      <c r="C50" s="60">
        <f>(B35+C35+D35)/(E35*24*Supuestos!$B$16)</f>
        <v>3315.1510721247564</v>
      </c>
      <c r="D50" s="60">
        <f t="shared" si="2"/>
        <v>112396.999</v>
      </c>
      <c r="E50" s="61">
        <f t="shared" si="3"/>
        <v>204526.00915532498</v>
      </c>
      <c r="F50" s="60">
        <f>((B35+C35+D35)-D50)/(E35*24*Supuestos!$B$16)</f>
        <v>3041.2792422027292</v>
      </c>
      <c r="G50" s="60">
        <f t="shared" si="4"/>
        <v>1465</v>
      </c>
      <c r="H50" s="60">
        <f t="shared" si="5"/>
        <v>1465</v>
      </c>
      <c r="I50" s="61">
        <f t="shared" si="6"/>
        <v>0</v>
      </c>
      <c r="J50" s="60">
        <f t="shared" si="7"/>
        <v>460.89599000208273</v>
      </c>
      <c r="K50" s="60">
        <f t="shared" si="8"/>
        <v>1004.1040099979173</v>
      </c>
      <c r="L50" s="61">
        <f t="shared" si="9"/>
        <v>185313.60294011241</v>
      </c>
      <c r="M50" s="60">
        <f t="shared" si="10"/>
        <v>19357.631580087473</v>
      </c>
      <c r="N50" s="61">
        <f>M50*J35-(M50/Supuestos!$B$18)*I35</f>
        <v>18862.842451220618</v>
      </c>
      <c r="O50" s="62">
        <v>1</v>
      </c>
      <c r="P50" s="61">
        <f t="shared" si="11"/>
        <v>2889360.3294999995</v>
      </c>
      <c r="Q50" s="61">
        <f t="shared" si="12"/>
        <v>408702.45454665797</v>
      </c>
    </row>
    <row r="51" spans="1:17" x14ac:dyDescent="0.3">
      <c r="A51" s="59" t="str">
        <f t="shared" si="0"/>
        <v>Jul</v>
      </c>
      <c r="B51" s="60">
        <f t="shared" si="1"/>
        <v>113488.23199999999</v>
      </c>
      <c r="C51" s="60">
        <f>(B36+C36+D36)/(E36*24*Supuestos!$B$16)</f>
        <v>2912.5165063195623</v>
      </c>
      <c r="D51" s="60">
        <f t="shared" si="2"/>
        <v>113488.23199999999</v>
      </c>
      <c r="E51" s="61">
        <f t="shared" si="3"/>
        <v>206511.69856459997</v>
      </c>
      <c r="F51" s="60">
        <f>((B36+C36+D36)-D51)/(E36*24*Supuestos!$B$16)</f>
        <v>2644.9060743255986</v>
      </c>
      <c r="G51" s="60">
        <f t="shared" si="4"/>
        <v>1582</v>
      </c>
      <c r="H51" s="60">
        <f t="shared" si="5"/>
        <v>1582</v>
      </c>
      <c r="I51" s="61">
        <f t="shared" si="6"/>
        <v>0</v>
      </c>
      <c r="J51" s="60">
        <f t="shared" si="7"/>
        <v>460.89599000208273</v>
      </c>
      <c r="K51" s="60">
        <f t="shared" si="8"/>
        <v>1121.1040099979173</v>
      </c>
      <c r="L51" s="61">
        <f t="shared" si="9"/>
        <v>185313.60294011241</v>
      </c>
      <c r="M51" s="60">
        <f t="shared" si="10"/>
        <v>21201.215540095807</v>
      </c>
      <c r="N51" s="61">
        <f>M51*J36-(M51/Supuestos!$B$18)*I36</f>
        <v>20659.303637051158</v>
      </c>
      <c r="O51" s="62">
        <v>1</v>
      </c>
      <c r="P51" s="61">
        <f t="shared" si="11"/>
        <v>2755885.9697749997</v>
      </c>
      <c r="Q51" s="61">
        <f t="shared" si="12"/>
        <v>412484.60514176358</v>
      </c>
    </row>
    <row r="52" spans="1:17" x14ac:dyDescent="0.3">
      <c r="A52" s="59" t="str">
        <f t="shared" si="0"/>
        <v>Ago</v>
      </c>
      <c r="B52" s="60">
        <f t="shared" si="1"/>
        <v>106185.36499999999</v>
      </c>
      <c r="C52" s="60">
        <f>(B37+C37+D37)/(E37*24*Supuestos!$B$16)</f>
        <v>3453.0607432559896</v>
      </c>
      <c r="D52" s="60">
        <f t="shared" si="2"/>
        <v>106185.36499999999</v>
      </c>
      <c r="E52" s="61">
        <f t="shared" si="3"/>
        <v>193222.85405637498</v>
      </c>
      <c r="F52" s="60">
        <f>((B37+C37+D37)-D52)/(E37*24*Supuestos!$B$16)</f>
        <v>3202.6708050367856</v>
      </c>
      <c r="G52" s="60">
        <f t="shared" si="4"/>
        <v>1515</v>
      </c>
      <c r="H52" s="60">
        <f t="shared" si="5"/>
        <v>1515</v>
      </c>
      <c r="I52" s="61">
        <f t="shared" si="6"/>
        <v>0</v>
      </c>
      <c r="J52" s="60">
        <f t="shared" si="7"/>
        <v>460.89599000208273</v>
      </c>
      <c r="K52" s="60">
        <f t="shared" si="8"/>
        <v>1054.1040099979173</v>
      </c>
      <c r="L52" s="61">
        <f t="shared" si="9"/>
        <v>185313.60294011241</v>
      </c>
      <c r="M52" s="60">
        <f t="shared" si="10"/>
        <v>19357.631580087473</v>
      </c>
      <c r="N52" s="61">
        <f>M52*J37-(M52/Supuestos!$B$18)*I37</f>
        <v>18862.842451220618</v>
      </c>
      <c r="O52" s="62">
        <v>1</v>
      </c>
      <c r="P52" s="61">
        <f t="shared" si="11"/>
        <v>3071333.9308750005</v>
      </c>
      <c r="Q52" s="61">
        <f t="shared" si="12"/>
        <v>397399.29944770801</v>
      </c>
    </row>
    <row r="53" spans="1:17" x14ac:dyDescent="0.3">
      <c r="A53" s="59" t="str">
        <f t="shared" si="0"/>
        <v>Sep</v>
      </c>
      <c r="B53" s="60">
        <f t="shared" si="1"/>
        <v>100309.495</v>
      </c>
      <c r="C53" s="60">
        <f>(B38+C38+D38)/(E38*24*Supuestos!$B$16)</f>
        <v>3293.5185185185187</v>
      </c>
      <c r="D53" s="60">
        <f t="shared" si="2"/>
        <v>100309.495</v>
      </c>
      <c r="E53" s="61">
        <f t="shared" si="3"/>
        <v>182530.680314125</v>
      </c>
      <c r="F53" s="60">
        <f>((B38+C38+D38)-D53)/(E38*24*Supuestos!$B$16)</f>
        <v>3049.0996710526315</v>
      </c>
      <c r="G53" s="60">
        <f t="shared" si="4"/>
        <v>2279</v>
      </c>
      <c r="H53" s="60">
        <f t="shared" si="5"/>
        <v>2279</v>
      </c>
      <c r="I53" s="61">
        <f t="shared" si="6"/>
        <v>0</v>
      </c>
      <c r="J53" s="60">
        <f t="shared" si="7"/>
        <v>460.89599000208273</v>
      </c>
      <c r="K53" s="60">
        <f t="shared" si="8"/>
        <v>1818.1040099979173</v>
      </c>
      <c r="L53" s="61">
        <f t="shared" si="9"/>
        <v>185313.60294011241</v>
      </c>
      <c r="M53" s="60">
        <f t="shared" si="10"/>
        <v>19357.631580087473</v>
      </c>
      <c r="N53" s="61">
        <f>M53*J38-(M53/Supuestos!$B$18)*I38</f>
        <v>18862.842451220618</v>
      </c>
      <c r="O53" s="62">
        <v>1</v>
      </c>
      <c r="P53" s="61">
        <f t="shared" si="11"/>
        <v>3268325.5388249997</v>
      </c>
      <c r="Q53" s="61">
        <f t="shared" si="12"/>
        <v>386707.12570545799</v>
      </c>
    </row>
    <row r="54" spans="1:17" x14ac:dyDescent="0.3">
      <c r="A54" s="59" t="str">
        <f t="shared" si="0"/>
        <v>Oct</v>
      </c>
      <c r="B54" s="60">
        <f t="shared" si="1"/>
        <v>110550.29699999999</v>
      </c>
      <c r="C54" s="60">
        <f>(B39+C39+D39)/(E39*24*Supuestos!$B$16)</f>
        <v>3117.2443878513491</v>
      </c>
      <c r="D54" s="60">
        <f t="shared" si="2"/>
        <v>110550.29699999999</v>
      </c>
      <c r="E54" s="61">
        <f t="shared" si="3"/>
        <v>201165.61169347499</v>
      </c>
      <c r="F54" s="60">
        <f>((B39+C39+D39)-D54)/(E39*24*Supuestos!$B$16)</f>
        <v>2856.5617407093</v>
      </c>
      <c r="G54" s="60">
        <f t="shared" si="4"/>
        <v>1750</v>
      </c>
      <c r="H54" s="60">
        <f t="shared" si="5"/>
        <v>1750</v>
      </c>
      <c r="I54" s="61">
        <f t="shared" si="6"/>
        <v>0</v>
      </c>
      <c r="J54" s="60">
        <f t="shared" si="7"/>
        <v>460.89599000208273</v>
      </c>
      <c r="K54" s="60">
        <f t="shared" si="8"/>
        <v>1289.1040099979173</v>
      </c>
      <c r="L54" s="61">
        <f t="shared" si="9"/>
        <v>185313.60294011241</v>
      </c>
      <c r="M54" s="60">
        <f t="shared" si="10"/>
        <v>21201.215540095807</v>
      </c>
      <c r="N54" s="61">
        <f>M54*J39-(M54/Supuestos!$B$18)*I39</f>
        <v>20659.303637051158</v>
      </c>
      <c r="O54" s="62">
        <v>1</v>
      </c>
      <c r="P54" s="61">
        <f t="shared" si="11"/>
        <v>2987655.5987</v>
      </c>
      <c r="Q54" s="61">
        <f t="shared" si="12"/>
        <v>407138.51827063854</v>
      </c>
    </row>
    <row r="55" spans="1:17" x14ac:dyDescent="0.3">
      <c r="A55" s="59" t="str">
        <f t="shared" si="0"/>
        <v>Nov</v>
      </c>
      <c r="B55" s="60">
        <f t="shared" si="1"/>
        <v>114663.40599999999</v>
      </c>
      <c r="C55" s="60">
        <f>(B40+C40+D40)/(E40*24*Supuestos!$B$16)</f>
        <v>2922.3952241715401</v>
      </c>
      <c r="D55" s="60">
        <f t="shared" si="2"/>
        <v>114663.40599999999</v>
      </c>
      <c r="E55" s="61">
        <f t="shared" si="3"/>
        <v>208650.13331304997</v>
      </c>
      <c r="F55" s="60">
        <f>((B40+C40+D40)-D55)/(E40*24*Supuestos!$B$16)</f>
        <v>2643.0009600389867</v>
      </c>
      <c r="G55" s="60">
        <f t="shared" si="4"/>
        <v>2026</v>
      </c>
      <c r="H55" s="60">
        <f t="shared" si="5"/>
        <v>2026</v>
      </c>
      <c r="I55" s="61">
        <f t="shared" si="6"/>
        <v>0</v>
      </c>
      <c r="J55" s="60">
        <f t="shared" si="7"/>
        <v>230.44799500104136</v>
      </c>
      <c r="K55" s="60">
        <f t="shared" si="8"/>
        <v>1795.5520049989586</v>
      </c>
      <c r="L55" s="61">
        <f t="shared" si="9"/>
        <v>92656.801470056205</v>
      </c>
      <c r="M55" s="60">
        <f t="shared" si="10"/>
        <v>17514.047620079145</v>
      </c>
      <c r="N55" s="61">
        <f>M55*J40-(M55/Supuestos!$B$18)*I40</f>
        <v>17066.381265390086</v>
      </c>
      <c r="O55" s="62">
        <v>1</v>
      </c>
      <c r="P55" s="61">
        <f t="shared" si="11"/>
        <v>2910961.4198499997</v>
      </c>
      <c r="Q55" s="61">
        <f t="shared" si="12"/>
        <v>318373.31604849629</v>
      </c>
    </row>
    <row r="56" spans="1:17" x14ac:dyDescent="0.3">
      <c r="A56" s="59" t="str">
        <f t="shared" si="0"/>
        <v>Dic</v>
      </c>
      <c r="B56" s="60">
        <f t="shared" si="1"/>
        <v>109878.769</v>
      </c>
      <c r="C56" s="60">
        <f>(B41+C41+D41)/(E41*24*Supuestos!$B$16)</f>
        <v>2736.934069043577</v>
      </c>
      <c r="D56" s="60">
        <f t="shared" si="2"/>
        <v>109878.769</v>
      </c>
      <c r="E56" s="61">
        <f t="shared" si="3"/>
        <v>199943.648980075</v>
      </c>
      <c r="F56" s="60">
        <f>((B41+C41+D41)-D56)/(E41*24*Supuestos!$B$16)</f>
        <v>2477.8349155819656</v>
      </c>
      <c r="G56" s="60">
        <f t="shared" si="4"/>
        <v>2124</v>
      </c>
      <c r="H56" s="60">
        <f t="shared" si="5"/>
        <v>2124</v>
      </c>
      <c r="I56" s="61">
        <f t="shared" si="6"/>
        <v>0</v>
      </c>
      <c r="J56" s="60">
        <f t="shared" si="7"/>
        <v>230.44799500104136</v>
      </c>
      <c r="K56" s="60">
        <f t="shared" si="8"/>
        <v>1893.5520049989586</v>
      </c>
      <c r="L56" s="61">
        <f t="shared" si="9"/>
        <v>92656.801470056205</v>
      </c>
      <c r="M56" s="60">
        <f t="shared" si="10"/>
        <v>20279.42356009164</v>
      </c>
      <c r="N56" s="61">
        <f>M56*J41-(M56/Supuestos!$B$18)*I41</f>
        <v>19761.073044135883</v>
      </c>
      <c r="O56" s="62">
        <v>1</v>
      </c>
      <c r="P56" s="61">
        <f t="shared" si="11"/>
        <v>2912415.9138499997</v>
      </c>
      <c r="Q56" s="61">
        <f t="shared" si="12"/>
        <v>312361.52349426708</v>
      </c>
    </row>
    <row r="57" spans="1:17" x14ac:dyDescent="0.3">
      <c r="A57" s="63" t="s">
        <v>182</v>
      </c>
    </row>
    <row r="58" spans="1:17" ht="18" customHeight="1" x14ac:dyDescent="0.3">
      <c r="A58" s="3" t="s">
        <v>183</v>
      </c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7" ht="25.5" customHeight="1" x14ac:dyDescent="0.3">
      <c r="A59" s="64" t="s">
        <v>135</v>
      </c>
      <c r="B59" s="64" t="s">
        <v>184</v>
      </c>
      <c r="C59" s="64" t="s">
        <v>185</v>
      </c>
      <c r="D59" s="64" t="s">
        <v>186</v>
      </c>
      <c r="E59" s="64" t="s">
        <v>187</v>
      </c>
      <c r="F59" s="64" t="s">
        <v>188</v>
      </c>
      <c r="G59" s="64" t="s">
        <v>189</v>
      </c>
      <c r="H59" s="64" t="s">
        <v>190</v>
      </c>
      <c r="I59" s="64" t="s">
        <v>191</v>
      </c>
      <c r="J59" s="64" t="s">
        <v>192</v>
      </c>
      <c r="K59" s="64" t="s">
        <v>17</v>
      </c>
    </row>
    <row r="60" spans="1:17" x14ac:dyDescent="0.3">
      <c r="A60" s="12" t="str">
        <f t="shared" ref="A60:A71" si="13">A30</f>
        <v>Ene</v>
      </c>
      <c r="B60" s="65">
        <f t="shared" ref="B60:B71" si="14">B30+C30+D30</f>
        <v>1368386</v>
      </c>
      <c r="C60" s="65">
        <f t="shared" ref="C60:C71" si="15">B45</f>
        <v>119867.74800000001</v>
      </c>
      <c r="D60" s="65">
        <f t="shared" ref="D60:D71" si="16">M45</f>
        <v>20279.42356009164</v>
      </c>
      <c r="E60" s="66">
        <f t="shared" ref="E60:E71" si="17">(P45+R30)*$L$6</f>
        <v>3149448.2772256476</v>
      </c>
      <c r="F60" s="66">
        <f t="shared" ref="F60:F71" si="18">(E45+I45)*(1-IF(R30&lt;0,-R30/P45,0))</f>
        <v>218120.3443419</v>
      </c>
      <c r="G60" s="66">
        <f t="shared" ref="G60:G71" si="19">(L45+N45)*(1-IF(R30&lt;0,-R30/P45,0))</f>
        <v>112417.87451419208</v>
      </c>
      <c r="H60" s="66">
        <f t="shared" ref="H60:H71" si="20">IF($J$6="Sí",MAX(0,R30),0)</f>
        <v>0</v>
      </c>
      <c r="I60" s="66">
        <f t="shared" ref="I60:I71" si="21">E60-F60-G60-H60</f>
        <v>2818910.0583695555</v>
      </c>
      <c r="J60" s="66">
        <f t="shared" ref="J60:J71" si="22">F60+G60+H60</f>
        <v>330538.21885609208</v>
      </c>
      <c r="K60" s="67">
        <f t="shared" ref="K60:K72" si="23">J60/E60</f>
        <v>0.10495115009390266</v>
      </c>
    </row>
    <row r="61" spans="1:17" x14ac:dyDescent="0.3">
      <c r="A61" s="12" t="str">
        <f t="shared" si="13"/>
        <v>Feb</v>
      </c>
      <c r="B61" s="65">
        <f t="shared" si="14"/>
        <v>1326345</v>
      </c>
      <c r="C61" s="65">
        <f t="shared" si="15"/>
        <v>116761.931</v>
      </c>
      <c r="D61" s="65">
        <f t="shared" si="16"/>
        <v>17514.047620079145</v>
      </c>
      <c r="E61" s="66">
        <f t="shared" si="17"/>
        <v>3057932.7737462707</v>
      </c>
      <c r="F61" s="66">
        <f t="shared" si="18"/>
        <v>212468.76679242498</v>
      </c>
      <c r="G61" s="66">
        <f t="shared" si="19"/>
        <v>109723.18273544629</v>
      </c>
      <c r="H61" s="66">
        <f t="shared" si="20"/>
        <v>0</v>
      </c>
      <c r="I61" s="66">
        <f t="shared" si="21"/>
        <v>2735740.8242183994</v>
      </c>
      <c r="J61" s="66">
        <f t="shared" si="22"/>
        <v>322191.94952787127</v>
      </c>
      <c r="K61" s="67">
        <f t="shared" si="23"/>
        <v>0.10536266601216161</v>
      </c>
    </row>
    <row r="62" spans="1:17" x14ac:dyDescent="0.3">
      <c r="A62" s="12" t="str">
        <f t="shared" si="13"/>
        <v>Mar</v>
      </c>
      <c r="B62" s="65">
        <f t="shared" si="14"/>
        <v>1468058</v>
      </c>
      <c r="C62" s="65">
        <f t="shared" si="15"/>
        <v>142783.641</v>
      </c>
      <c r="D62" s="65">
        <f t="shared" si="16"/>
        <v>18435.839600083309</v>
      </c>
      <c r="E62" s="66">
        <f t="shared" si="17"/>
        <v>3212854.9543286809</v>
      </c>
      <c r="F62" s="66">
        <f t="shared" si="18"/>
        <v>259819.821936675</v>
      </c>
      <c r="G62" s="66">
        <f t="shared" si="19"/>
        <v>110621.41332836155</v>
      </c>
      <c r="H62" s="66">
        <f t="shared" si="20"/>
        <v>0</v>
      </c>
      <c r="I62" s="66">
        <f t="shared" si="21"/>
        <v>2842413.7190636443</v>
      </c>
      <c r="J62" s="66">
        <f t="shared" si="22"/>
        <v>370441.23526503658</v>
      </c>
      <c r="K62" s="67">
        <f t="shared" si="23"/>
        <v>0.11529970712370347</v>
      </c>
    </row>
    <row r="63" spans="1:17" x14ac:dyDescent="0.3">
      <c r="A63" s="12" t="str">
        <f t="shared" si="13"/>
        <v>Abr</v>
      </c>
      <c r="B63" s="65">
        <f t="shared" si="14"/>
        <v>1472405</v>
      </c>
      <c r="C63" s="65">
        <f t="shared" si="15"/>
        <v>126499.08699999998</v>
      </c>
      <c r="D63" s="65">
        <f t="shared" si="16"/>
        <v>20279.42356009164</v>
      </c>
      <c r="E63" s="66">
        <f t="shared" si="17"/>
        <v>3117376.1468741135</v>
      </c>
      <c r="F63" s="66">
        <f t="shared" si="18"/>
        <v>229023.24226928124</v>
      </c>
      <c r="G63" s="66">
        <f t="shared" si="19"/>
        <v>204037.67832598061</v>
      </c>
      <c r="H63" s="66">
        <f t="shared" si="20"/>
        <v>0</v>
      </c>
      <c r="I63" s="66">
        <f t="shared" si="21"/>
        <v>2684315.2262788517</v>
      </c>
      <c r="J63" s="66">
        <f t="shared" si="22"/>
        <v>433060.92059526185</v>
      </c>
      <c r="K63" s="67">
        <f t="shared" si="23"/>
        <v>0.13891840451448409</v>
      </c>
    </row>
    <row r="64" spans="1:17" x14ac:dyDescent="0.3">
      <c r="A64" s="12" t="str">
        <f t="shared" si="13"/>
        <v>May</v>
      </c>
      <c r="B64" s="65">
        <f t="shared" si="14"/>
        <v>1560398</v>
      </c>
      <c r="C64" s="65">
        <f t="shared" si="15"/>
        <v>120119.571</v>
      </c>
      <c r="D64" s="65">
        <f t="shared" si="16"/>
        <v>19357.631580087473</v>
      </c>
      <c r="E64" s="66">
        <f t="shared" si="17"/>
        <v>3271324.6354564778</v>
      </c>
      <c r="F64" s="66">
        <f t="shared" si="18"/>
        <v>217378.50297223887</v>
      </c>
      <c r="G64" s="66">
        <f t="shared" si="19"/>
        <v>203055.44106095782</v>
      </c>
      <c r="H64" s="66">
        <f t="shared" si="20"/>
        <v>0</v>
      </c>
      <c r="I64" s="66">
        <f t="shared" si="21"/>
        <v>2850890.6914232811</v>
      </c>
      <c r="J64" s="66">
        <f t="shared" si="22"/>
        <v>420433.94403319666</v>
      </c>
      <c r="K64" s="67">
        <f t="shared" si="23"/>
        <v>0.12852100934168817</v>
      </c>
    </row>
    <row r="65" spans="1:12" x14ac:dyDescent="0.3">
      <c r="A65" s="12" t="str">
        <f t="shared" si="13"/>
        <v>Jun</v>
      </c>
      <c r="B65" s="65">
        <f t="shared" si="14"/>
        <v>1360538</v>
      </c>
      <c r="C65" s="65">
        <f t="shared" si="15"/>
        <v>112396.999</v>
      </c>
      <c r="D65" s="65">
        <f t="shared" si="16"/>
        <v>19357.631580087473</v>
      </c>
      <c r="E65" s="66">
        <f t="shared" si="17"/>
        <v>2882556.7096378808</v>
      </c>
      <c r="F65" s="66">
        <f t="shared" si="18"/>
        <v>204044.4087013414</v>
      </c>
      <c r="G65" s="66">
        <f t="shared" si="19"/>
        <v>203695.66806037488</v>
      </c>
      <c r="H65" s="66">
        <f t="shared" si="20"/>
        <v>0</v>
      </c>
      <c r="I65" s="66">
        <f t="shared" si="21"/>
        <v>2474816.6328761643</v>
      </c>
      <c r="J65" s="66">
        <f t="shared" si="22"/>
        <v>407740.07676171628</v>
      </c>
      <c r="K65" s="67">
        <f t="shared" si="23"/>
        <v>0.14145084306526562</v>
      </c>
    </row>
    <row r="66" spans="1:12" x14ac:dyDescent="0.3">
      <c r="A66" s="12" t="str">
        <f t="shared" si="13"/>
        <v>Jul</v>
      </c>
      <c r="B66" s="65">
        <f t="shared" si="14"/>
        <v>1235140</v>
      </c>
      <c r="C66" s="65">
        <f t="shared" si="15"/>
        <v>113488.23199999999</v>
      </c>
      <c r="D66" s="65">
        <f t="shared" si="16"/>
        <v>21201.215540095807</v>
      </c>
      <c r="E66" s="66">
        <f t="shared" si="17"/>
        <v>2752606.1199066653</v>
      </c>
      <c r="F66" s="66">
        <f t="shared" si="18"/>
        <v>206265.92373865808</v>
      </c>
      <c r="G66" s="66">
        <f t="shared" si="19"/>
        <v>205727.77298127237</v>
      </c>
      <c r="H66" s="66">
        <f t="shared" si="20"/>
        <v>0</v>
      </c>
      <c r="I66" s="66">
        <f t="shared" si="21"/>
        <v>2340612.4231867348</v>
      </c>
      <c r="J66" s="66">
        <f t="shared" si="22"/>
        <v>411993.69671993045</v>
      </c>
      <c r="K66" s="67">
        <f t="shared" si="23"/>
        <v>0.14967404662091655</v>
      </c>
    </row>
    <row r="67" spans="1:12" x14ac:dyDescent="0.3">
      <c r="A67" s="12" t="str">
        <f t="shared" si="13"/>
        <v>Ago</v>
      </c>
      <c r="B67" s="65">
        <f t="shared" si="14"/>
        <v>1464374</v>
      </c>
      <c r="C67" s="65">
        <f t="shared" si="15"/>
        <v>106185.36499999999</v>
      </c>
      <c r="D67" s="65">
        <f t="shared" si="16"/>
        <v>19357.631580087473</v>
      </c>
      <c r="E67" s="66">
        <f t="shared" si="17"/>
        <v>3062938.5810215101</v>
      </c>
      <c r="F67" s="66">
        <f t="shared" si="18"/>
        <v>192694.68827423872</v>
      </c>
      <c r="G67" s="66">
        <f t="shared" si="19"/>
        <v>203618.33847121452</v>
      </c>
      <c r="H67" s="66">
        <f t="shared" si="20"/>
        <v>0</v>
      </c>
      <c r="I67" s="66">
        <f t="shared" si="21"/>
        <v>2666625.5542760566</v>
      </c>
      <c r="J67" s="66">
        <f t="shared" si="22"/>
        <v>396313.02674545324</v>
      </c>
      <c r="K67" s="67">
        <f t="shared" si="23"/>
        <v>0.12938980533304728</v>
      </c>
    </row>
    <row r="68" spans="1:12" x14ac:dyDescent="0.3">
      <c r="A68" s="12" t="str">
        <f t="shared" si="13"/>
        <v>Sep</v>
      </c>
      <c r="B68" s="65">
        <f t="shared" si="14"/>
        <v>1351660</v>
      </c>
      <c r="C68" s="65">
        <f t="shared" si="15"/>
        <v>100309.495</v>
      </c>
      <c r="D68" s="65">
        <f t="shared" si="16"/>
        <v>19357.631580087473</v>
      </c>
      <c r="E68" s="66">
        <f t="shared" si="17"/>
        <v>3267839.4189813104</v>
      </c>
      <c r="F68" s="66">
        <f t="shared" si="18"/>
        <v>182503.53130058269</v>
      </c>
      <c r="G68" s="66">
        <f t="shared" si="19"/>
        <v>204146.07685782725</v>
      </c>
      <c r="H68" s="66">
        <f t="shared" si="20"/>
        <v>0</v>
      </c>
      <c r="I68" s="66">
        <f t="shared" si="21"/>
        <v>2881189.8108229009</v>
      </c>
      <c r="J68" s="66">
        <f t="shared" si="22"/>
        <v>386649.60815840994</v>
      </c>
      <c r="K68" s="67">
        <f t="shared" si="23"/>
        <v>0.11831964750548879</v>
      </c>
    </row>
    <row r="69" spans="1:12" x14ac:dyDescent="0.3">
      <c r="A69" s="12" t="str">
        <f t="shared" si="13"/>
        <v>Oct</v>
      </c>
      <c r="B69" s="65">
        <f t="shared" si="14"/>
        <v>1321961</v>
      </c>
      <c r="C69" s="65">
        <f t="shared" si="15"/>
        <v>110550.29699999999</v>
      </c>
      <c r="D69" s="65">
        <f t="shared" si="16"/>
        <v>21201.215540095807</v>
      </c>
      <c r="E69" s="66">
        <f t="shared" si="17"/>
        <v>2987366.3388428949</v>
      </c>
      <c r="F69" s="66">
        <f t="shared" si="18"/>
        <v>201146.13516316013</v>
      </c>
      <c r="G69" s="66">
        <f t="shared" si="19"/>
        <v>205952.96461230578</v>
      </c>
      <c r="H69" s="66">
        <f t="shared" si="20"/>
        <v>0</v>
      </c>
      <c r="I69" s="66">
        <f t="shared" si="21"/>
        <v>2580267.2390674292</v>
      </c>
      <c r="J69" s="66">
        <f t="shared" si="22"/>
        <v>407099.0997754659</v>
      </c>
      <c r="K69" s="67">
        <f t="shared" si="23"/>
        <v>0.13627357799483969</v>
      </c>
    </row>
    <row r="70" spans="1:12" x14ac:dyDescent="0.3">
      <c r="A70" s="12" t="str">
        <f t="shared" si="13"/>
        <v>Nov</v>
      </c>
      <c r="B70" s="65">
        <f t="shared" si="14"/>
        <v>1199351</v>
      </c>
      <c r="C70" s="65">
        <f t="shared" si="15"/>
        <v>114663.40599999999</v>
      </c>
      <c r="D70" s="65">
        <f t="shared" si="16"/>
        <v>17514.047620079145</v>
      </c>
      <c r="E70" s="66">
        <f t="shared" si="17"/>
        <v>2910961.4199892399</v>
      </c>
      <c r="F70" s="66">
        <f t="shared" si="18"/>
        <v>208650.13331304997</v>
      </c>
      <c r="G70" s="66">
        <f t="shared" si="19"/>
        <v>109723.18273544629</v>
      </c>
      <c r="H70" s="66">
        <f t="shared" si="20"/>
        <v>0</v>
      </c>
      <c r="I70" s="66">
        <f t="shared" si="21"/>
        <v>2592588.1039407435</v>
      </c>
      <c r="J70" s="66">
        <f t="shared" si="22"/>
        <v>318373.31604849629</v>
      </c>
      <c r="K70" s="67">
        <f t="shared" si="23"/>
        <v>0.10937050345712693</v>
      </c>
    </row>
    <row r="71" spans="1:12" x14ac:dyDescent="0.3">
      <c r="A71" s="12" t="str">
        <f t="shared" si="13"/>
        <v>Dic</v>
      </c>
      <c r="B71" s="65">
        <f t="shared" si="14"/>
        <v>1160679</v>
      </c>
      <c r="C71" s="65">
        <f t="shared" si="15"/>
        <v>109878.769</v>
      </c>
      <c r="D71" s="65">
        <f t="shared" si="16"/>
        <v>20279.42356009164</v>
      </c>
      <c r="E71" s="66">
        <f t="shared" si="17"/>
        <v>2912403.3639893089</v>
      </c>
      <c r="F71" s="66">
        <f t="shared" si="18"/>
        <v>199942.78739544254</v>
      </c>
      <c r="G71" s="66">
        <f t="shared" si="19"/>
        <v>112417.39009013766</v>
      </c>
      <c r="H71" s="66">
        <f t="shared" si="20"/>
        <v>0</v>
      </c>
      <c r="I71" s="66">
        <f t="shared" si="21"/>
        <v>2600043.1865037289</v>
      </c>
      <c r="J71" s="66">
        <f t="shared" si="22"/>
        <v>312360.17748558021</v>
      </c>
      <c r="K71" s="67">
        <f t="shared" si="23"/>
        <v>0.10725168819257237</v>
      </c>
    </row>
    <row r="72" spans="1:12" x14ac:dyDescent="0.3">
      <c r="A72" s="16" t="s">
        <v>193</v>
      </c>
      <c r="B72" s="28">
        <f t="shared" ref="B72:J72" si="24">SUM(B60:B71)</f>
        <v>16289295</v>
      </c>
      <c r="C72" s="28">
        <f t="shared" si="24"/>
        <v>1393504.541</v>
      </c>
      <c r="D72" s="28">
        <f t="shared" si="24"/>
        <v>234135.16292105801</v>
      </c>
      <c r="E72" s="19">
        <f t="shared" si="24"/>
        <v>36585608.740000002</v>
      </c>
      <c r="F72" s="19">
        <f t="shared" si="24"/>
        <v>2532058.2861989937</v>
      </c>
      <c r="G72" s="19">
        <f t="shared" si="24"/>
        <v>1985136.9837735177</v>
      </c>
      <c r="H72" s="19">
        <f t="shared" si="24"/>
        <v>0</v>
      </c>
      <c r="I72" s="19">
        <f t="shared" si="24"/>
        <v>32068413.470027491</v>
      </c>
      <c r="J72" s="19">
        <f t="shared" si="24"/>
        <v>4517195.2699725116</v>
      </c>
      <c r="K72" s="68">
        <f t="shared" si="23"/>
        <v>0.12346918434717047</v>
      </c>
    </row>
    <row r="73" spans="1:12" x14ac:dyDescent="0.3">
      <c r="A73" s="63" t="s">
        <v>254</v>
      </c>
    </row>
    <row r="75" spans="1:12" ht="18" customHeight="1" x14ac:dyDescent="0.3">
      <c r="A75" s="3" t="s">
        <v>195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x14ac:dyDescent="0.3">
      <c r="A76" s="69" t="s">
        <v>196</v>
      </c>
      <c r="B76" s="70" t="s">
        <v>197</v>
      </c>
      <c r="C76" s="71">
        <f>F72</f>
        <v>2532058.2861989937</v>
      </c>
      <c r="D76" s="70" t="s">
        <v>198</v>
      </c>
      <c r="E76" s="71">
        <f>F72+SUMPRODUCT(E45:E56*(1/O45:O56-1))</f>
        <v>2532058.2861989937</v>
      </c>
      <c r="F76" s="70" t="s">
        <v>199</v>
      </c>
      <c r="G76" s="71">
        <f>G72</f>
        <v>1985136.9837735177</v>
      </c>
      <c r="H76" s="70" t="s">
        <v>200</v>
      </c>
      <c r="I76" s="71">
        <f>H72</f>
        <v>0</v>
      </c>
      <c r="J76" s="70" t="s">
        <v>185</v>
      </c>
      <c r="K76" s="72">
        <f>C72</f>
        <v>1393504.541</v>
      </c>
    </row>
    <row r="77" spans="1:12" ht="25.5" customHeight="1" x14ac:dyDescent="0.3">
      <c r="A77" s="52" t="s">
        <v>201</v>
      </c>
      <c r="B77" s="52" t="s">
        <v>202</v>
      </c>
      <c r="C77" s="52" t="s">
        <v>187</v>
      </c>
      <c r="D77" s="52" t="s">
        <v>203</v>
      </c>
      <c r="E77" s="52" t="s">
        <v>204</v>
      </c>
      <c r="F77" s="52" t="s">
        <v>205</v>
      </c>
      <c r="G77" s="52" t="s">
        <v>206</v>
      </c>
      <c r="H77" s="52" t="s">
        <v>207</v>
      </c>
      <c r="I77" s="52" t="s">
        <v>208</v>
      </c>
      <c r="J77" s="52" t="s">
        <v>209</v>
      </c>
      <c r="K77" s="52" t="s">
        <v>210</v>
      </c>
      <c r="L77" s="52" t="s">
        <v>211</v>
      </c>
    </row>
    <row r="78" spans="1:12" x14ac:dyDescent="0.3">
      <c r="A78" s="12">
        <v>0</v>
      </c>
      <c r="B78" s="12" t="s">
        <v>18</v>
      </c>
      <c r="H78" s="66">
        <f>-B26-B25-D25</f>
        <v>-15864454.125</v>
      </c>
      <c r="K78" s="66">
        <v>0</v>
      </c>
      <c r="L78" s="66">
        <f>-B26-B25-D25</f>
        <v>-15864454.125</v>
      </c>
    </row>
    <row r="79" spans="1:12" x14ac:dyDescent="0.3">
      <c r="A79" s="12">
        <v>1</v>
      </c>
      <c r="B79" s="59" t="str">
        <f>IF(A79&lt;=(Supuestos!$B$22-Supuestos!$B$24),"Autoabasto","CFE pleno")</f>
        <v>Autoabasto</v>
      </c>
      <c r="C79" s="61">
        <f>IF(A79&lt;=(Supuestos!$B$22-Supuestos!$B$24),$B$12,$B$10)*(1+Supuestos!$B$8)^A79</f>
        <v>34109028.9626</v>
      </c>
      <c r="D79" s="61">
        <f>IF(A79&lt;=(Supuestos!$B$22-Supuestos!$B$24),$C$76,$E$76)*(1+Supuestos!$B$8)^A79*(1-Supuestos!$B$11)^A79</f>
        <v>2670561.8744540787</v>
      </c>
      <c r="E79" s="61">
        <f>$G$76*(1+Supuestos!$B$8)^A79*(1-Supuestos!$B$12)^A79*Supuestos!$B$10</f>
        <v>1558456.6033236973</v>
      </c>
      <c r="F79" s="61">
        <f>$I$76*(1+Supuestos!$B$8)^A79</f>
        <v>0</v>
      </c>
      <c r="G79" s="61">
        <f t="shared" ref="G79:G98" si="25">C79-D79-E79-F79</f>
        <v>29880010.484822225</v>
      </c>
      <c r="H79" s="61">
        <f>D79+E79+F79-(Supuestos!$B$19*$B$6+Supuestos!$B$20*$F$6)*(1+Supuestos!$B$8)^(A79-1)</f>
        <v>3792401.3777777762</v>
      </c>
      <c r="I79" s="61">
        <f>IF(A79&lt;=Supuestos!$J$31,$K$76*(1-Supuestos!$B$11)^A79*Supuestos!$I$31*(1+Supuestos!$B$9)^(A79-1),0)</f>
        <v>2203345.9757725848</v>
      </c>
      <c r="J79" s="61">
        <f>E79*Supuestos!$K$31</f>
        <v>779228.30166184867</v>
      </c>
      <c r="K79" s="61">
        <f>D79-I79+E79-J79+F79-IF(A79&lt;=Supuestos!$J$31,0,Supuestos!$B$19*$B$6*(1+Supuestos!$B$8)^(A79-1))</f>
        <v>1246444.2003433425</v>
      </c>
      <c r="L79" s="61">
        <f>I79+J79-IF(A79&lt;=Supuestos!$J$31,(Supuestos!$B$19*$B$6+Supuestos!$B$20*$F$6),Supuestos!$B$20*$F$6)*(1+Supuestos!$B$8)^(A79-1)</f>
        <v>2545957.1774344333</v>
      </c>
    </row>
    <row r="80" spans="1:12" x14ac:dyDescent="0.3">
      <c r="A80" s="12">
        <v>2</v>
      </c>
      <c r="B80" s="59" t="str">
        <f>IF(A80&lt;=(Supuestos!$B$22-Supuestos!$B$24),"Autoabasto","CFE pleno")</f>
        <v>Autoabasto</v>
      </c>
      <c r="C80" s="61">
        <f>IF(A80&lt;=(Supuestos!$B$22-Supuestos!$B$24),$B$12,$B$10)*(1+Supuestos!$B$8)^A80</f>
        <v>36155570.700356007</v>
      </c>
      <c r="D80" s="61">
        <f>IF(A80&lt;=(Supuestos!$B$22-Supuestos!$B$24),$C$76,$E$76)*(1+Supuestos!$B$8)^A80*(1-Supuestos!$B$11)^A80</f>
        <v>2816641.6089867172</v>
      </c>
      <c r="E80" s="61">
        <f>$G$76*(1+Supuestos!$B$8)^A80*(1-Supuestos!$B$12)^A80*Supuestos!$B$10</f>
        <v>1631314.4495290804</v>
      </c>
      <c r="F80" s="61">
        <f>$I$76*(1+Supuestos!$B$8)^A80</f>
        <v>0</v>
      </c>
      <c r="G80" s="61">
        <f t="shared" si="25"/>
        <v>31707614.641840208</v>
      </c>
      <c r="H80" s="61">
        <f>D80+E80+F80-(Supuestos!$B$19*$B$6+Supuestos!$B$20*$F$6)*(1+Supuestos!$B$8)^(A80-1)</f>
        <v>3985141.9325157972</v>
      </c>
      <c r="I80" s="61">
        <f>IF(A80&lt;=Supuestos!$J$31,$K$76*(1-Supuestos!$B$11)^A80*Supuestos!$I$31*(1+Supuestos!$B$9)^(A80-1),0)</f>
        <v>2301945.7081884076</v>
      </c>
      <c r="J80" s="61">
        <f>E80*Supuestos!$K$31</f>
        <v>815657.22476454021</v>
      </c>
      <c r="K80" s="61">
        <f>D80-I80+E80-J80+F80-IF(A80&lt;=Supuestos!$J$31,0,Supuestos!$B$19*$B$6*(1+Supuestos!$B$8)^(A80-1))</f>
        <v>1330353.1255628499</v>
      </c>
      <c r="L80" s="61">
        <f>I80+J80-IF(A80&lt;=Supuestos!$J$31,(Supuestos!$B$19*$B$6+Supuestos!$B$20*$F$6),Supuestos!$B$20*$F$6)*(1+Supuestos!$B$8)^(A80-1)</f>
        <v>2654788.8069529478</v>
      </c>
    </row>
    <row r="81" spans="1:12" x14ac:dyDescent="0.3">
      <c r="A81" s="12">
        <v>3</v>
      </c>
      <c r="B81" s="59" t="str">
        <f>IF(A81&lt;=(Supuestos!$B$22-Supuestos!$B$24),"Autoabasto","CFE pleno")</f>
        <v>Autoabasto</v>
      </c>
      <c r="C81" s="61">
        <f>IF(A81&lt;=(Supuestos!$B$22-Supuestos!$B$24),$B$12,$B$10)*(1+Supuestos!$B$8)^A81</f>
        <v>38324904.942377374</v>
      </c>
      <c r="D81" s="61">
        <f>IF(A81&lt;=(Supuestos!$B$22-Supuestos!$B$24),$C$76,$E$76)*(1+Supuestos!$B$8)^A81*(1-Supuestos!$B$11)^A81</f>
        <v>2970711.9049982908</v>
      </c>
      <c r="E81" s="61">
        <f>$G$76*(1+Supuestos!$B$8)^A81*(1-Supuestos!$B$12)^A81*Supuestos!$B$10</f>
        <v>1707578.4000445651</v>
      </c>
      <c r="F81" s="61">
        <f>$I$76*(1+Supuestos!$B$8)^A81</f>
        <v>0</v>
      </c>
      <c r="G81" s="61">
        <f t="shared" si="25"/>
        <v>33646614.637334518</v>
      </c>
      <c r="H81" s="61">
        <f>D81+E81+F81-(Supuestos!$B$19*$B$6+Supuestos!$B$20*$F$6)*(1+Supuestos!$B$8)^(A81-1)</f>
        <v>4187707.3314828556</v>
      </c>
      <c r="I81" s="61">
        <f>IF(A81&lt;=Supuestos!$J$31,$K$76*(1-Supuestos!$B$11)^A81*Supuestos!$I$31*(1+Supuestos!$B$9)^(A81-1),0)</f>
        <v>2404957.7786298394</v>
      </c>
      <c r="J81" s="61">
        <f>E81*Supuestos!$K$31</f>
        <v>853789.20002228254</v>
      </c>
      <c r="K81" s="61">
        <f>D81-I81+E81-J81+F81-IF(A81&lt;=Supuestos!$J$31,0,Supuestos!$B$19*$B$6*(1+Supuestos!$B$8)^(A81-1))</f>
        <v>1419543.3263907339</v>
      </c>
      <c r="L81" s="61">
        <f>I81+J81-IF(A81&lt;=Supuestos!$J$31,(Supuestos!$B$19*$B$6+Supuestos!$B$20*$F$6),Supuestos!$B$20*$F$6)*(1+Supuestos!$B$8)^(A81-1)</f>
        <v>2768164.0050921221</v>
      </c>
    </row>
    <row r="82" spans="1:12" x14ac:dyDescent="0.3">
      <c r="A82" s="12">
        <v>4</v>
      </c>
      <c r="B82" s="59" t="str">
        <f>IF(A82&lt;=(Supuestos!$B$22-Supuestos!$B$24),"Autoabasto","CFE pleno")</f>
        <v>Autoabasto</v>
      </c>
      <c r="C82" s="61">
        <f>IF(A82&lt;=(Supuestos!$B$22-Supuestos!$B$24),$B$12,$B$10)*(1+Supuestos!$B$8)^A82</f>
        <v>40624399.238920011</v>
      </c>
      <c r="D82" s="61">
        <f>IF(A82&lt;=(Supuestos!$B$22-Supuestos!$B$24),$C$76,$E$76)*(1+Supuestos!$B$8)^A82*(1-Supuestos!$B$11)^A82</f>
        <v>3133209.8462016974</v>
      </c>
      <c r="E82" s="61">
        <f>$G$76*(1+Supuestos!$B$8)^A82*(1-Supuestos!$B$12)^A82*Supuestos!$B$10</f>
        <v>1787407.6902466486</v>
      </c>
      <c r="F82" s="61">
        <f>$I$76*(1+Supuestos!$B$8)^A82</f>
        <v>0</v>
      </c>
      <c r="G82" s="61">
        <f t="shared" si="25"/>
        <v>35703781.702471666</v>
      </c>
      <c r="H82" s="61">
        <f>D82+E82+F82-(Supuestos!$B$19*$B$6+Supuestos!$B$20*$F$6)*(1+Supuestos!$B$8)^(A82-1)</f>
        <v>4400599.5844747461</v>
      </c>
      <c r="I82" s="61">
        <f>IF(A82&lt;=Supuestos!$J$31,$K$76*(1-Supuestos!$B$11)^A82*Supuestos!$I$31*(1+Supuestos!$B$9)^(A82-1),0)</f>
        <v>2512579.6392235248</v>
      </c>
      <c r="J82" s="61">
        <f>E82*Supuestos!$K$31</f>
        <v>893703.84512332431</v>
      </c>
      <c r="K82" s="61">
        <f>D82-I82+E82-J82+F82-IF(A82&lt;=Supuestos!$J$31,0,Supuestos!$B$19*$B$6*(1+Supuestos!$B$8)^(A82-1))</f>
        <v>1514334.0521014968</v>
      </c>
      <c r="L82" s="61">
        <f>I82+J82-IF(A82&lt;=Supuestos!$J$31,(Supuestos!$B$19*$B$6+Supuestos!$B$20*$F$6),Supuestos!$B$20*$F$6)*(1+Supuestos!$B$8)^(A82-1)</f>
        <v>2886265.5323732486</v>
      </c>
    </row>
    <row r="83" spans="1:12" x14ac:dyDescent="0.3">
      <c r="A83" s="12">
        <v>5</v>
      </c>
      <c r="B83" s="59" t="str">
        <f>IF(A83&lt;=(Supuestos!$B$22-Supuestos!$B$24),"Autoabasto","CFE pleno")</f>
        <v>Autoabasto</v>
      </c>
      <c r="C83" s="61">
        <f>IF(A83&lt;=(Supuestos!$B$22-Supuestos!$B$24),$B$12,$B$10)*(1+Supuestos!$B$8)^A83</f>
        <v>43061863.193255216</v>
      </c>
      <c r="D83" s="61">
        <f>IF(A83&lt;=(Supuestos!$B$22-Supuestos!$B$24),$C$76,$E$76)*(1+Supuestos!$B$8)^A83*(1-Supuestos!$B$11)^A83</f>
        <v>3304596.4247889309</v>
      </c>
      <c r="E83" s="61">
        <f>$G$76*(1+Supuestos!$B$8)^A83*(1-Supuestos!$B$12)^A83*Supuestos!$B$10</f>
        <v>1870968.9997656797</v>
      </c>
      <c r="F83" s="61">
        <f>$I$76*(1+Supuestos!$B$8)^A83</f>
        <v>0</v>
      </c>
      <c r="G83" s="61">
        <f t="shared" si="25"/>
        <v>37886297.768700607</v>
      </c>
      <c r="H83" s="61">
        <f>D83+E83+F83-(Supuestos!$B$19*$B$6+Supuestos!$B$20*$F$6)*(1+Supuestos!$B$8)^(A83-1)</f>
        <v>4624346.3954625949</v>
      </c>
      <c r="I83" s="61">
        <f>IF(A83&lt;=Supuestos!$J$31,$K$76*(1-Supuestos!$B$11)^A83*Supuestos!$I$31*(1+Supuestos!$B$9)^(A83-1),0)</f>
        <v>2625017.5780787771</v>
      </c>
      <c r="J83" s="61">
        <f>E83*Supuestos!$K$31</f>
        <v>935484.49988283985</v>
      </c>
      <c r="K83" s="61">
        <f>D83-I83+E83-J83+F83-IF(A83&lt;=Supuestos!$J$31,0,Supuestos!$B$19*$B$6*(1+Supuestos!$B$8)^(A83-1))</f>
        <v>1615063.3465929937</v>
      </c>
      <c r="L83" s="61">
        <f>I83+J83-IF(A83&lt;=Supuestos!$J$31,(Supuestos!$B$19*$B$6+Supuestos!$B$20*$F$6),Supuestos!$B$20*$F$6)*(1+Supuestos!$B$8)^(A83-1)</f>
        <v>3009283.048869601</v>
      </c>
    </row>
    <row r="84" spans="1:12" x14ac:dyDescent="0.3">
      <c r="A84" s="12">
        <v>6</v>
      </c>
      <c r="B84" s="59" t="str">
        <f>IF(A84&lt;=(Supuestos!$B$22-Supuestos!$B$24),"Autoabasto","CFE pleno")</f>
        <v>Autoabasto</v>
      </c>
      <c r="C84" s="61">
        <f>IF(A84&lt;=(Supuestos!$B$22-Supuestos!$B$24),$B$12,$B$10)*(1+Supuestos!$B$8)^A84</f>
        <v>45645574.984850533</v>
      </c>
      <c r="D84" s="61">
        <f>IF(A84&lt;=(Supuestos!$B$22-Supuestos!$B$24),$C$76,$E$76)*(1+Supuestos!$B$8)^A84*(1-Supuestos!$B$11)^A84</f>
        <v>3485357.8492248855</v>
      </c>
      <c r="E84" s="61">
        <f>$G$76*(1+Supuestos!$B$8)^A84*(1-Supuestos!$B$12)^A84*Supuestos!$B$10</f>
        <v>1958436.8005047254</v>
      </c>
      <c r="F84" s="61">
        <f>$I$76*(1+Supuestos!$B$8)^A84</f>
        <v>0</v>
      </c>
      <c r="G84" s="61">
        <f t="shared" si="25"/>
        <v>40201780.335120916</v>
      </c>
      <c r="H84" s="61">
        <f>D84+E84+F84-(Supuestos!$B$19*$B$6+Supuestos!$B$20*$F$6)*(1+Supuestos!$B$8)^(A84-1)</f>
        <v>4859502.478892074</v>
      </c>
      <c r="I84" s="61">
        <f>IF(A84&lt;=Supuestos!$J$31,$K$76*(1-Supuestos!$B$11)^A84*Supuestos!$I$31*(1+Supuestos!$B$9)^(A84-1),0)</f>
        <v>2742487.1146978023</v>
      </c>
      <c r="J84" s="61">
        <f>E84*Supuestos!$K$31</f>
        <v>979218.40025236271</v>
      </c>
      <c r="K84" s="61">
        <f>D84-I84+E84-J84+F84-IF(A84&lt;=Supuestos!$J$31,0,Supuestos!$B$19*$B$6*(1+Supuestos!$B$8)^(A84-1))</f>
        <v>1722089.1347794458</v>
      </c>
      <c r="L84" s="61">
        <f>I84+J84-IF(A84&lt;=Supuestos!$J$31,(Supuestos!$B$19*$B$6+Supuestos!$B$20*$F$6),Supuestos!$B$20*$F$6)*(1+Supuestos!$B$8)^(A84-1)</f>
        <v>3137413.3441126281</v>
      </c>
    </row>
    <row r="85" spans="1:12" x14ac:dyDescent="0.3">
      <c r="A85" s="12">
        <v>7</v>
      </c>
      <c r="B85" s="59" t="str">
        <f>IF(A85&lt;=(Supuestos!$B$22-Supuestos!$B$24),"Autoabasto","CFE pleno")</f>
        <v>CFE pleno</v>
      </c>
      <c r="C85" s="61">
        <f>IF(A85&lt;=(Supuestos!$B$22-Supuestos!$B$24),$B$12,$B$10)*(1+Supuestos!$B$8)^A85</f>
        <v>55011228.345082797</v>
      </c>
      <c r="D85" s="61">
        <f>IF(A85&lt;=(Supuestos!$B$22-Supuestos!$B$24),$C$76,$E$76)*(1+Supuestos!$B$8)^A85*(1-Supuestos!$B$11)^A85</f>
        <v>3676006.923577487</v>
      </c>
      <c r="E85" s="61">
        <f>$G$76*(1+Supuestos!$B$8)^A85*(1-Supuestos!$B$12)^A85*Supuestos!$B$10</f>
        <v>2049993.7209283216</v>
      </c>
      <c r="F85" s="61">
        <f>$I$76*(1+Supuestos!$B$8)^A85</f>
        <v>0</v>
      </c>
      <c r="G85" s="61">
        <f t="shared" si="25"/>
        <v>49285227.700576991</v>
      </c>
      <c r="H85" s="61">
        <f>D85+E85+F85-(Supuestos!$B$19*$B$6+Supuestos!$B$20*$F$6)*(1+Supuestos!$B$8)^(A85-1)</f>
        <v>5106650.9434180185</v>
      </c>
      <c r="I85" s="61">
        <f>IF(A85&lt;=Supuestos!$J$31,$K$76*(1-Supuestos!$B$11)^A85*Supuestos!$I$31*(1+Supuestos!$B$9)^(A85-1),0)</f>
        <v>2865213.4130805288</v>
      </c>
      <c r="J85" s="61">
        <f>E85*Supuestos!$K$31</f>
        <v>1024996.8604641608</v>
      </c>
      <c r="K85" s="61">
        <f>D85-I85+E85-J85+F85-IF(A85&lt;=Supuestos!$J$31,0,Supuestos!$B$19*$B$6*(1+Supuestos!$B$8)^(A85-1))</f>
        <v>1835790.370961119</v>
      </c>
      <c r="L85" s="61">
        <f>I85+J85-IF(A85&lt;=Supuestos!$J$31,(Supuestos!$B$19*$B$6+Supuestos!$B$20*$F$6),Supuestos!$B$20*$F$6)*(1+Supuestos!$B$8)^(A85-1)</f>
        <v>3270860.5724569</v>
      </c>
    </row>
    <row r="86" spans="1:12" x14ac:dyDescent="0.3">
      <c r="A86" s="12">
        <v>8</v>
      </c>
      <c r="B86" s="59" t="str">
        <f>IF(A86&lt;=(Supuestos!$B$22-Supuestos!$B$24),"Autoabasto","CFE pleno")</f>
        <v>CFE pleno</v>
      </c>
      <c r="C86" s="61">
        <f>IF(A86&lt;=(Supuestos!$B$22-Supuestos!$B$24),$B$12,$B$10)*(1+Supuestos!$B$8)^A86</f>
        <v>58311902.045787759</v>
      </c>
      <c r="D86" s="61">
        <f>IF(A86&lt;=(Supuestos!$B$22-Supuestos!$B$24),$C$76,$E$76)*(1+Supuestos!$B$8)^A86*(1-Supuestos!$B$11)^A86</f>
        <v>3877084.5022971756</v>
      </c>
      <c r="E86" s="61">
        <f>$G$76*(1+Supuestos!$B$8)^A86*(1-Supuestos!$B$12)^A86*Supuestos!$B$10</f>
        <v>2145830.9273817204</v>
      </c>
      <c r="F86" s="61">
        <f>$I$76*(1+Supuestos!$B$8)^A86</f>
        <v>0</v>
      </c>
      <c r="G86" s="61">
        <f t="shared" si="25"/>
        <v>52288986.616108865</v>
      </c>
      <c r="H86" s="61">
        <f>D86+E86+F86-(Supuestos!$B$19*$B$6+Supuestos!$B$20*$F$6)*(1+Supuestos!$B$8)^(A86-1)</f>
        <v>5366404.7465258399</v>
      </c>
      <c r="I86" s="61">
        <f>IF(A86&lt;=Supuestos!$J$31,$K$76*(1-Supuestos!$B$11)^A86*Supuestos!$I$31*(1+Supuestos!$B$9)^(A86-1),0)</f>
        <v>2993431.7133158832</v>
      </c>
      <c r="J86" s="61">
        <f>E86*Supuestos!$K$31</f>
        <v>1072915.4636908602</v>
      </c>
      <c r="K86" s="61">
        <f>D86-I86+E86-J86+F86-IF(A86&lt;=Supuestos!$J$31,0,Supuestos!$B$19*$B$6*(1+Supuestos!$B$8)^(A86-1))</f>
        <v>1956568.2526721526</v>
      </c>
      <c r="L86" s="61">
        <f>I86+J86-IF(A86&lt;=Supuestos!$J$31,(Supuestos!$B$19*$B$6+Supuestos!$B$20*$F$6),Supuestos!$B$20*$F$6)*(1+Supuestos!$B$8)^(A86-1)</f>
        <v>3409836.4938536864</v>
      </c>
    </row>
    <row r="87" spans="1:12" x14ac:dyDescent="0.3">
      <c r="A87" s="12">
        <v>9</v>
      </c>
      <c r="B87" s="59" t="str">
        <f>IF(A87&lt;=(Supuestos!$B$22-Supuestos!$B$24),"Autoabasto","CFE pleno")</f>
        <v>CFE pleno</v>
      </c>
      <c r="C87" s="61">
        <f>IF(A87&lt;=(Supuestos!$B$22-Supuestos!$B$24),$B$12,$B$10)*(1+Supuestos!$B$8)^A87</f>
        <v>61810616.168535024</v>
      </c>
      <c r="D87" s="61">
        <f>IF(A87&lt;=(Supuestos!$B$22-Supuestos!$B$24),$C$76,$E$76)*(1+Supuestos!$B$8)^A87*(1-Supuestos!$B$11)^A87</f>
        <v>4089161.0245728306</v>
      </c>
      <c r="E87" s="61">
        <f>$G$76*(1+Supuestos!$B$8)^A87*(1-Supuestos!$B$12)^A87*Supuestos!$B$10</f>
        <v>2246148.5232368158</v>
      </c>
      <c r="F87" s="61">
        <f>$I$76*(1+Supuestos!$B$8)^A87</f>
        <v>0</v>
      </c>
      <c r="G87" s="61">
        <f t="shared" si="25"/>
        <v>55475306.620725371</v>
      </c>
      <c r="H87" s="61">
        <f>D87+E87+F87-(Supuestos!$B$19*$B$6+Supuestos!$B$20*$F$6)*(1+Supuestos!$B$8)^(A87-1)</f>
        <v>5639408.2236674065</v>
      </c>
      <c r="I87" s="61">
        <f>IF(A87&lt;=Supuestos!$J$31,$K$76*(1-Supuestos!$B$11)^A87*Supuestos!$I$31*(1+Supuestos!$B$9)^(A87-1),0)</f>
        <v>3127387.7824867684</v>
      </c>
      <c r="J87" s="61">
        <f>E87*Supuestos!$K$31</f>
        <v>1123074.2616184079</v>
      </c>
      <c r="K87" s="61">
        <f>D87-I87+E87-J87+F87-IF(A87&lt;=Supuestos!$J$31,0,Supuestos!$B$19*$B$6*(1+Supuestos!$B$8)^(A87-1))</f>
        <v>2084847.5037044701</v>
      </c>
      <c r="L87" s="61">
        <f>I87+J87-IF(A87&lt;=Supuestos!$J$31,(Supuestos!$B$19*$B$6+Supuestos!$B$20*$F$6),Supuestos!$B$20*$F$6)*(1+Supuestos!$B$8)^(A87-1)</f>
        <v>3554560.7199629359</v>
      </c>
    </row>
    <row r="88" spans="1:12" x14ac:dyDescent="0.3">
      <c r="A88" s="12">
        <v>10</v>
      </c>
      <c r="B88" s="59" t="str">
        <f>IF(A88&lt;=(Supuestos!$B$22-Supuestos!$B$24),"Autoabasto","CFE pleno")</f>
        <v>CFE pleno</v>
      </c>
      <c r="C88" s="61">
        <f>IF(A88&lt;=(Supuestos!$B$22-Supuestos!$B$24),$B$12,$B$10)*(1+Supuestos!$B$8)^A88</f>
        <v>65519253.138647132</v>
      </c>
      <c r="D88" s="61">
        <f>IF(A88&lt;=(Supuestos!$B$22-Supuestos!$B$24),$C$76,$E$76)*(1+Supuestos!$B$8)^A88*(1-Supuestos!$B$11)^A88</f>
        <v>4312838.1326169651</v>
      </c>
      <c r="E88" s="61">
        <f>$G$76*(1+Supuestos!$B$8)^A88*(1-Supuestos!$B$12)^A88*Supuestos!$B$10</f>
        <v>2351155.9666981371</v>
      </c>
      <c r="F88" s="61">
        <f>$I$76*(1+Supuestos!$B$8)^A88</f>
        <v>0</v>
      </c>
      <c r="G88" s="61">
        <f t="shared" si="25"/>
        <v>58855259.039332025</v>
      </c>
      <c r="H88" s="61">
        <f>D88+E88+F88-(Supuestos!$B$19*$B$6+Supuestos!$B$20*$F$6)*(1+Supuestos!$B$8)^(A88-1)</f>
        <v>5926338.6957243271</v>
      </c>
      <c r="I88" s="61">
        <f>IF(A88&lt;=Supuestos!$J$31,$K$76*(1-Supuestos!$B$11)^A88*Supuestos!$I$31*(1+Supuestos!$B$9)^(A88-1),0)</f>
        <v>3267338.3857530518</v>
      </c>
      <c r="J88" s="61">
        <f>E88*Supuestos!$K$31</f>
        <v>1175577.9833490686</v>
      </c>
      <c r="K88" s="61">
        <f>D88-I88+E88-J88+F88-IF(A88&lt;=Supuestos!$J$31,0,Supuestos!$B$19*$B$6*(1+Supuestos!$B$8)^(A88-1))</f>
        <v>2221077.7302129818</v>
      </c>
      <c r="L88" s="61">
        <f>I88+J88-IF(A88&lt;=Supuestos!$J$31,(Supuestos!$B$19*$B$6+Supuestos!$B$20*$F$6),Supuestos!$B$20*$F$6)*(1+Supuestos!$B$8)^(A88-1)</f>
        <v>3705260.9655113458</v>
      </c>
    </row>
    <row r="89" spans="1:12" x14ac:dyDescent="0.3">
      <c r="A89" s="12">
        <v>11</v>
      </c>
      <c r="B89" s="59" t="str">
        <f>IF(A89&lt;=(Supuestos!$B$22-Supuestos!$B$24),"Autoabasto","CFE pleno")</f>
        <v>CFE pleno</v>
      </c>
      <c r="C89" s="61">
        <f>IF(A89&lt;=(Supuestos!$B$22-Supuestos!$B$24),$B$12,$B$10)*(1+Supuestos!$B$8)^A89</f>
        <v>69450408.326965973</v>
      </c>
      <c r="D89" s="61">
        <f>IF(A89&lt;=(Supuestos!$B$22-Supuestos!$B$24),$C$76,$E$76)*(1+Supuestos!$B$8)^A89*(1-Supuestos!$B$11)^A89</f>
        <v>4548750.3784711137</v>
      </c>
      <c r="E89" s="61">
        <f>$G$76*(1+Supuestos!$B$8)^A89*(1-Supuestos!$B$12)^A89*Supuestos!$B$10</f>
        <v>2461072.508141276</v>
      </c>
      <c r="F89" s="61">
        <f>$I$76*(1+Supuestos!$B$8)^A89</f>
        <v>0</v>
      </c>
      <c r="G89" s="61">
        <f t="shared" si="25"/>
        <v>62440585.44035358</v>
      </c>
      <c r="H89" s="61">
        <f>D89+E89+F89-(Supuestos!$B$19*$B$6+Supuestos!$B$20*$F$6)*(1+Supuestos!$B$8)^(A89-1)</f>
        <v>6227908.1588061685</v>
      </c>
      <c r="I89" s="61">
        <f>IF(A89&lt;=Supuestos!$J$31,$K$76*(1-Supuestos!$B$11)^A89*Supuestos!$I$31*(1+Supuestos!$B$9)^(A89-1),0)</f>
        <v>3413551.7785155005</v>
      </c>
      <c r="J89" s="61">
        <f>E89*Supuestos!$K$31</f>
        <v>1230536.254070638</v>
      </c>
      <c r="K89" s="61">
        <f>D89-I89+E89-J89+F89-IF(A89&lt;=Supuestos!$J$31,0,Supuestos!$B$19*$B$6*(1+Supuestos!$B$8)^(A89-1))</f>
        <v>2365734.8540262515</v>
      </c>
      <c r="L89" s="61">
        <f>I89+J89-IF(A89&lt;=Supuestos!$J$31,(Supuestos!$B$19*$B$6+Supuestos!$B$20*$F$6),Supuestos!$B$20*$F$6)*(1+Supuestos!$B$8)^(A89-1)</f>
        <v>3862173.3047799175</v>
      </c>
    </row>
    <row r="90" spans="1:12" x14ac:dyDescent="0.3">
      <c r="A90" s="12">
        <v>12</v>
      </c>
      <c r="B90" s="59" t="str">
        <f>IF(A90&lt;=(Supuestos!$B$22-Supuestos!$B$24),"Autoabasto","CFE pleno")</f>
        <v>CFE pleno</v>
      </c>
      <c r="C90" s="61">
        <f>IF(A90&lt;=(Supuestos!$B$22-Supuestos!$B$24),$B$12,$B$10)*(1+Supuestos!$B$8)^A90</f>
        <v>73617432.826583937</v>
      </c>
      <c r="D90" s="61">
        <f>IF(A90&lt;=(Supuestos!$B$22-Supuestos!$B$24),$C$76,$E$76)*(1+Supuestos!$B$8)^A90*(1-Supuestos!$B$11)^A90</f>
        <v>4797567.0241734842</v>
      </c>
      <c r="E90" s="61">
        <f>$G$76*(1+Supuestos!$B$8)^A90*(1-Supuestos!$B$12)^A90*Supuestos!$B$10</f>
        <v>2576127.6478968803</v>
      </c>
      <c r="F90" s="61">
        <f>$I$76*(1+Supuestos!$B$8)^A90</f>
        <v>0</v>
      </c>
      <c r="G90" s="61">
        <f t="shared" si="25"/>
        <v>66243738.154513575</v>
      </c>
      <c r="H90" s="61">
        <f>D90+E90+F90-(Supuestos!$B$19*$B$6+Supuestos!$B$20*$F$6)*(1+Supuestos!$B$8)^(A90-1)</f>
        <v>6544865.0605957694</v>
      </c>
      <c r="I90" s="61">
        <f>IF(A90&lt;=Supuestos!$J$31,$K$76*(1-Supuestos!$B$11)^A90*Supuestos!$I$31*(1+Supuestos!$B$9)^(A90-1),0)</f>
        <v>3566308.2206040695</v>
      </c>
      <c r="J90" s="61">
        <f>E90*Supuestos!$K$31</f>
        <v>1288063.8239484401</v>
      </c>
      <c r="K90" s="61">
        <f>D90-I90+E90-J90+F90-IF(A90&lt;=Supuestos!$J$31,0,Supuestos!$B$19*$B$6*(1+Supuestos!$B$8)^(A90-1))</f>
        <v>2519322.6275178548</v>
      </c>
      <c r="L90" s="61">
        <f>I90+J90-IF(A90&lt;=Supuestos!$J$31,(Supuestos!$B$19*$B$6+Supuestos!$B$20*$F$6),Supuestos!$B$20*$F$6)*(1+Supuestos!$B$8)^(A90-1)</f>
        <v>4025542.4330779151</v>
      </c>
    </row>
    <row r="91" spans="1:12" x14ac:dyDescent="0.3">
      <c r="A91" s="12">
        <v>13</v>
      </c>
      <c r="B91" s="59" t="str">
        <f>IF(A91&lt;=(Supuestos!$B$22-Supuestos!$B$24),"Autoabasto","CFE pleno")</f>
        <v>CFE pleno</v>
      </c>
      <c r="C91" s="61">
        <f>IF(A91&lt;=(Supuestos!$B$22-Supuestos!$B$24),$B$12,$B$10)*(1+Supuestos!$B$8)^A91</f>
        <v>78034478.796178982</v>
      </c>
      <c r="D91" s="61">
        <f>IF(A91&lt;=(Supuestos!$B$22-Supuestos!$B$24),$C$76,$E$76)*(1+Supuestos!$B$8)^A91*(1-Supuestos!$B$11)^A91</f>
        <v>5059993.9403957743</v>
      </c>
      <c r="E91" s="61">
        <f>$G$76*(1+Supuestos!$B$8)^A91*(1-Supuestos!$B$12)^A91*Supuestos!$B$10</f>
        <v>2696561.6154360604</v>
      </c>
      <c r="F91" s="61">
        <f>$I$76*(1+Supuestos!$B$8)^A91</f>
        <v>0</v>
      </c>
      <c r="G91" s="61">
        <f t="shared" si="25"/>
        <v>70277923.240347147</v>
      </c>
      <c r="H91" s="61">
        <f>D91+E91+F91-(Supuestos!$B$19*$B$6+Supuestos!$B$20*$F$6)*(1+Supuestos!$B$8)^(A91-1)</f>
        <v>6877996.1676687645</v>
      </c>
      <c r="I91" s="61">
        <f>IF(A91&lt;=Supuestos!$J$31,$K$76*(1-Supuestos!$B$11)^A91*Supuestos!$I$31*(1+Supuestos!$B$9)^(A91-1),0)</f>
        <v>3725900.5134761017</v>
      </c>
      <c r="J91" s="61">
        <f>E91*Supuestos!$K$31</f>
        <v>1348280.8077180302</v>
      </c>
      <c r="K91" s="61">
        <f>D91-I91+E91-J91+F91-IF(A91&lt;=Supuestos!$J$31,0,Supuestos!$B$19*$B$6*(1+Supuestos!$B$8)^(A91-1))</f>
        <v>2682374.2346377028</v>
      </c>
      <c r="L91" s="61">
        <f>I91+J91-IF(A91&lt;=Supuestos!$J$31,(Supuestos!$B$19*$B$6+Supuestos!$B$20*$F$6),Supuestos!$B$20*$F$6)*(1+Supuestos!$B$8)^(A91-1)</f>
        <v>4195621.9330310617</v>
      </c>
    </row>
    <row r="92" spans="1:12" x14ac:dyDescent="0.3">
      <c r="A92" s="12">
        <v>14</v>
      </c>
      <c r="B92" s="59" t="str">
        <f>IF(A92&lt;=(Supuestos!$B$22-Supuestos!$B$24),"Autoabasto","CFE pleno")</f>
        <v>CFE pleno</v>
      </c>
      <c r="C92" s="61">
        <f>IF(A92&lt;=(Supuestos!$B$22-Supuestos!$B$24),$B$12,$B$10)*(1+Supuestos!$B$8)^A92</f>
        <v>82716547.523949713</v>
      </c>
      <c r="D92" s="61">
        <f>IF(A92&lt;=(Supuestos!$B$22-Supuestos!$B$24),$C$76,$E$76)*(1+Supuestos!$B$8)^A92*(1-Supuestos!$B$11)^A92</f>
        <v>5336775.6089354232</v>
      </c>
      <c r="E92" s="61">
        <f>$G$76*(1+Supuestos!$B$8)^A92*(1-Supuestos!$B$12)^A92*Supuestos!$B$10</f>
        <v>2822625.8709576959</v>
      </c>
      <c r="F92" s="61">
        <f>$I$76*(1+Supuestos!$B$8)^A92</f>
        <v>0</v>
      </c>
      <c r="G92" s="61">
        <f t="shared" si="25"/>
        <v>74557146.044056594</v>
      </c>
      <c r="H92" s="61">
        <f>D92+E92+F92-(Supuestos!$B$19*$B$6+Supuestos!$B$20*$F$6)*(1+Supuestos!$B$8)^(A92-1)</f>
        <v>7228128.528440265</v>
      </c>
      <c r="I92" s="61">
        <f>IF(A92&lt;=Supuestos!$J$31,$K$76*(1-Supuestos!$B$11)^A92*Supuestos!$I$31*(1+Supuestos!$B$9)^(A92-1),0)</f>
        <v>3892634.5614541573</v>
      </c>
      <c r="J92" s="61">
        <f>E92*Supuestos!$K$31</f>
        <v>1411312.9354788479</v>
      </c>
      <c r="K92" s="61">
        <f>D92-I92+E92-J92+F92-IF(A92&lt;=Supuestos!$J$31,0,Supuestos!$B$19*$B$6*(1+Supuestos!$B$8)^(A92-1))</f>
        <v>2855453.9829601138</v>
      </c>
      <c r="L92" s="61">
        <f>I92+J92-IF(A92&lt;=Supuestos!$J$31,(Supuestos!$B$19*$B$6+Supuestos!$B$20*$F$6),Supuestos!$B$20*$F$6)*(1+Supuestos!$B$8)^(A92-1)</f>
        <v>4372674.5454801507</v>
      </c>
    </row>
    <row r="93" spans="1:12" x14ac:dyDescent="0.3">
      <c r="A93" s="12">
        <v>15</v>
      </c>
      <c r="B93" s="59" t="str">
        <f>IF(A93&lt;=(Supuestos!$B$22-Supuestos!$B$24),"Autoabasto","CFE pleno")</f>
        <v>CFE pleno</v>
      </c>
      <c r="C93" s="61">
        <f>IF(A93&lt;=(Supuestos!$B$22-Supuestos!$B$24),$B$12,$B$10)*(1+Supuestos!$B$8)^A93</f>
        <v>87679540.375386715</v>
      </c>
      <c r="D93" s="61">
        <f>IF(A93&lt;=(Supuestos!$B$22-Supuestos!$B$24),$C$76,$E$76)*(1+Supuestos!$B$8)^A93*(1-Supuestos!$B$11)^A93</f>
        <v>5628697.2347441921</v>
      </c>
      <c r="E93" s="61">
        <f>$G$76*(1+Supuestos!$B$8)^A93*(1-Supuestos!$B$12)^A93*Supuestos!$B$10</f>
        <v>2954583.6304249694</v>
      </c>
      <c r="F93" s="61">
        <f>$I$76*(1+Supuestos!$B$8)^A93</f>
        <v>0</v>
      </c>
      <c r="G93" s="61">
        <f t="shared" si="25"/>
        <v>79096259.510217547</v>
      </c>
      <c r="H93" s="61">
        <f>D93+E93+F93-(Supuestos!$B$19*$B$6+Supuestos!$B$20*$F$6)*(1+Supuestos!$B$8)^(A93-1)</f>
        <v>7596131.5366291357</v>
      </c>
      <c r="I93" s="61">
        <f>IF(A93&lt;=Supuestos!$J$31,$K$76*(1-Supuestos!$B$11)^A93*Supuestos!$I$31*(1+Supuestos!$B$9)^(A93-1),0)</f>
        <v>4066829.95807923</v>
      </c>
      <c r="J93" s="61">
        <f>E93*Supuestos!$K$31</f>
        <v>1477291.8152124847</v>
      </c>
      <c r="K93" s="61">
        <f>D93-I93+E93-J93+F93-IF(A93&lt;=Supuestos!$J$31,0,Supuestos!$B$19*$B$6*(1+Supuestos!$B$8)^(A93-1))</f>
        <v>3039159.0918774474</v>
      </c>
      <c r="L93" s="61">
        <f>I93+J93-IF(A93&lt;=Supuestos!$J$31,(Supuestos!$B$19*$B$6+Supuestos!$B$20*$F$6),Supuestos!$B$20*$F$6)*(1+Supuestos!$B$8)^(A93-1)</f>
        <v>4556972.4447516883</v>
      </c>
    </row>
    <row r="94" spans="1:12" x14ac:dyDescent="0.3">
      <c r="A94" s="12">
        <v>16</v>
      </c>
      <c r="B94" s="59" t="str">
        <f>IF(A94&lt;=(Supuestos!$B$22-Supuestos!$B$24),"Autoabasto","CFE pleno")</f>
        <v>CFE pleno</v>
      </c>
      <c r="C94" s="61">
        <f>IF(A94&lt;=(Supuestos!$B$22-Supuestos!$B$24),$B$12,$B$10)*(1+Supuestos!$B$8)^A94</f>
        <v>92940312.797909901</v>
      </c>
      <c r="D94" s="61">
        <f>IF(A94&lt;=(Supuestos!$B$22-Supuestos!$B$24),$C$76,$E$76)*(1+Supuestos!$B$8)^A94*(1-Supuestos!$B$11)^A94</f>
        <v>5936586.9734846978</v>
      </c>
      <c r="E94" s="61">
        <f>$G$76*(1+Supuestos!$B$8)^A94*(1-Supuestos!$B$12)^A94*Supuestos!$B$10</f>
        <v>3092710.4151473357</v>
      </c>
      <c r="F94" s="61">
        <f>$I$76*(1+Supuestos!$B$8)^A94</f>
        <v>0</v>
      </c>
      <c r="G94" s="61">
        <f t="shared" si="25"/>
        <v>83911015.409277871</v>
      </c>
      <c r="H94" s="61">
        <f>D94+E94+F94-(Supuestos!$B$19*$B$6+Supuestos!$B$20*$F$6)*(1+Supuestos!$B$8)^(A94-1)</f>
        <v>7982919.1003796048</v>
      </c>
      <c r="I94" s="61">
        <f>IF(A94&lt;=Supuestos!$J$31,$K$76*(1-Supuestos!$B$11)^A94*Supuestos!$I$31*(1+Supuestos!$B$9)^(A94-1),0)</f>
        <v>0</v>
      </c>
      <c r="J94" s="61">
        <f>E94*Supuestos!$K$31</f>
        <v>1546355.2075736679</v>
      </c>
      <c r="K94" s="61">
        <f>D94-I94+E94-J94+F94-IF(A94&lt;=Supuestos!$J$31,0,Supuestos!$B$19*$B$6*(1+Supuestos!$B$8)^(A94-1))</f>
        <v>6859316.7580687227</v>
      </c>
      <c r="L94" s="61">
        <f>I94+J94-IF(A94&lt;=Supuestos!$J$31,(Supuestos!$B$19*$B$6+Supuestos!$B$20*$F$6),Supuestos!$B$20*$F$6)*(1+Supuestos!$B$8)^(A94-1)</f>
        <v>1123602.3423108822</v>
      </c>
    </row>
    <row r="95" spans="1:12" x14ac:dyDescent="0.3">
      <c r="A95" s="12">
        <v>17</v>
      </c>
      <c r="B95" s="59" t="str">
        <f>IF(A95&lt;=(Supuestos!$B$22-Supuestos!$B$24),"Autoabasto","CFE pleno")</f>
        <v>CFE pleno</v>
      </c>
      <c r="C95" s="61">
        <f>IF(A95&lt;=(Supuestos!$B$22-Supuestos!$B$24),$B$12,$B$10)*(1+Supuestos!$B$8)^A95</f>
        <v>98516731.565784499</v>
      </c>
      <c r="D95" s="61">
        <f>IF(A95&lt;=(Supuestos!$B$22-Supuestos!$B$24),$C$76,$E$76)*(1+Supuestos!$B$8)^A95*(1-Supuestos!$B$11)^A95</f>
        <v>6261318.2809343124</v>
      </c>
      <c r="E95" s="61">
        <f>$G$76*(1+Supuestos!$B$8)^A95*(1-Supuestos!$B$12)^A95*Supuestos!$B$10</f>
        <v>3237294.6270554746</v>
      </c>
      <c r="F95" s="61">
        <f>$I$76*(1+Supuestos!$B$8)^A95</f>
        <v>0</v>
      </c>
      <c r="G95" s="61">
        <f t="shared" si="25"/>
        <v>89018118.657794699</v>
      </c>
      <c r="H95" s="61">
        <f>D95+E95+F95-(Supuestos!$B$19*$B$6+Supuestos!$B$20*$F$6)*(1+Supuestos!$B$8)^(A95-1)</f>
        <v>8389451.9224422146</v>
      </c>
      <c r="I95" s="61">
        <f>IF(A95&lt;=Supuestos!$J$31,$K$76*(1-Supuestos!$B$11)^A95*Supuestos!$I$31*(1+Supuestos!$B$9)^(A95-1),0)</f>
        <v>0</v>
      </c>
      <c r="J95" s="61">
        <f>E95*Supuestos!$K$31</f>
        <v>1618647.3135277373</v>
      </c>
      <c r="K95" s="61">
        <f>D95-I95+E95-J95+F95-IF(A95&lt;=Supuestos!$J$31,0,Supuestos!$B$19*$B$6*(1+Supuestos!$B$8)^(A95-1))</f>
        <v>7218922.6460930295</v>
      </c>
      <c r="L95" s="61">
        <f>I95+J95-IF(A95&lt;=Supuestos!$J$31,(Supuestos!$B$19*$B$6+Supuestos!$B$20*$F$6),Supuestos!$B$20*$F$6)*(1+Supuestos!$B$8)^(A95-1)</f>
        <v>1170529.2763491846</v>
      </c>
    </row>
    <row r="96" spans="1:12" x14ac:dyDescent="0.3">
      <c r="A96" s="12">
        <v>18</v>
      </c>
      <c r="B96" s="59" t="str">
        <f>IF(A96&lt;=(Supuestos!$B$22-Supuestos!$B$24),"Autoabasto","CFE pleno")</f>
        <v>CFE pleno</v>
      </c>
      <c r="C96" s="61">
        <f>IF(A96&lt;=(Supuestos!$B$22-Supuestos!$B$24),$B$12,$B$10)*(1+Supuestos!$B$8)^A96</f>
        <v>104427735.45973158</v>
      </c>
      <c r="D96" s="61">
        <f>IF(A96&lt;=(Supuestos!$B$22-Supuestos!$B$24),$C$76,$E$76)*(1+Supuestos!$B$8)^A96*(1-Supuestos!$B$11)^A96</f>
        <v>6603812.3909014184</v>
      </c>
      <c r="E96" s="61">
        <f>$G$76*(1+Supuestos!$B$8)^A96*(1-Supuestos!$B$12)^A96*Supuestos!$B$10</f>
        <v>3388638.1508703167</v>
      </c>
      <c r="F96" s="61">
        <f>$I$76*(1+Supuestos!$B$8)^A96</f>
        <v>0</v>
      </c>
      <c r="G96" s="61">
        <f t="shared" si="25"/>
        <v>94435284.917959839</v>
      </c>
      <c r="H96" s="61">
        <f>D96+E96+F96-(Supuestos!$B$19*$B$6+Supuestos!$B$20*$F$6)*(1+Supuestos!$B$8)^(A96-1)</f>
        <v>8816739.8970913086</v>
      </c>
      <c r="I96" s="61">
        <f>IF(A96&lt;=Supuestos!$J$31,$K$76*(1-Supuestos!$B$11)^A96*Supuestos!$I$31*(1+Supuestos!$B$9)^(A96-1),0)</f>
        <v>0</v>
      </c>
      <c r="J96" s="61">
        <f>E96*Supuestos!$K$31</f>
        <v>1694319.0754351583</v>
      </c>
      <c r="K96" s="61">
        <f>D96-I96+E96-J96+F96-IF(A96&lt;=Supuestos!$J$31,0,Supuestos!$B$19*$B$6*(1+Supuestos!$B$8)^(A96-1))</f>
        <v>7597425.9410654167</v>
      </c>
      <c r="L96" s="61">
        <f>I96+J96-IF(A96&lt;=Supuestos!$J$31,(Supuestos!$B$19*$B$6+Supuestos!$B$20*$F$6),Supuestos!$B$20*$F$6)*(1+Supuestos!$B$8)^(A96-1)</f>
        <v>1219313.9560258924</v>
      </c>
    </row>
    <row r="97" spans="1:12" x14ac:dyDescent="0.3">
      <c r="A97" s="12">
        <v>19</v>
      </c>
      <c r="B97" s="59" t="str">
        <f>IF(A97&lt;=(Supuestos!$B$22-Supuestos!$B$24),"Autoabasto","CFE pleno")</f>
        <v>CFE pleno</v>
      </c>
      <c r="C97" s="61">
        <f>IF(A97&lt;=(Supuestos!$B$22-Supuestos!$B$24),$B$12,$B$10)*(1+Supuestos!$B$8)^A97</f>
        <v>110693399.58731548</v>
      </c>
      <c r="D97" s="61">
        <f>IF(A97&lt;=(Supuestos!$B$22-Supuestos!$B$24),$C$76,$E$76)*(1+Supuestos!$B$8)^A97*(1-Supuestos!$B$11)^A97</f>
        <v>6965040.928683727</v>
      </c>
      <c r="E97" s="61">
        <f>$G$76*(1+Supuestos!$B$8)^A97*(1-Supuestos!$B$12)^A97*Supuestos!$B$10</f>
        <v>3547056.9844235061</v>
      </c>
      <c r="F97" s="61">
        <f>$I$76*(1+Supuestos!$B$8)^A97</f>
        <v>0</v>
      </c>
      <c r="G97" s="61">
        <f t="shared" si="25"/>
        <v>100181301.67420825</v>
      </c>
      <c r="H97" s="61">
        <f>D97+E97+F97-(Supuestos!$B$19*$B$6+Supuestos!$B$20*$F$6)*(1+Supuestos!$B$8)^(A97-1)</f>
        <v>9265844.6297459807</v>
      </c>
      <c r="I97" s="61">
        <f>IF(A97&lt;=Supuestos!$J$31,$K$76*(1-Supuestos!$B$11)^A97*Supuestos!$I$31*(1+Supuestos!$B$9)^(A97-1),0)</f>
        <v>0</v>
      </c>
      <c r="J97" s="61">
        <f>E97*Supuestos!$K$31</f>
        <v>1773528.492211753</v>
      </c>
      <c r="K97" s="61">
        <f>D97-I97+E97-J97+F97-IF(A97&lt;=Supuestos!$J$31,0,Supuestos!$B$19*$B$6*(1+Supuestos!$B$8)^(A97-1))</f>
        <v>7995821.5641080486</v>
      </c>
      <c r="L97" s="61">
        <f>I97+J97-IF(A97&lt;=Supuestos!$J$31,(Supuestos!$B$19*$B$6+Supuestos!$B$20*$F$6),Supuestos!$B$20*$F$6)*(1+Supuestos!$B$8)^(A97-1)</f>
        <v>1270023.0656379312</v>
      </c>
    </row>
    <row r="98" spans="1:12" x14ac:dyDescent="0.3">
      <c r="A98" s="12">
        <v>20</v>
      </c>
      <c r="B98" s="59" t="str">
        <f>IF(A98&lt;=(Supuestos!$B$22-Supuestos!$B$24),"Autoabasto","CFE pleno")</f>
        <v>CFE pleno</v>
      </c>
      <c r="C98" s="61">
        <f>IF(A98&lt;=(Supuestos!$B$22-Supuestos!$B$24),$B$12,$B$10)*(1+Supuestos!$B$8)^A98</f>
        <v>117335003.5625544</v>
      </c>
      <c r="D98" s="61">
        <f>IF(A98&lt;=(Supuestos!$B$22-Supuestos!$B$24),$C$76,$E$76)*(1+Supuestos!$B$8)^A98*(1-Supuestos!$B$11)^A98</f>
        <v>7346028.6674827263</v>
      </c>
      <c r="E98" s="61">
        <f>$G$76*(1+Supuestos!$B$8)^A98*(1-Supuestos!$B$12)^A98*Supuestos!$B$10</f>
        <v>3712881.8984453045</v>
      </c>
      <c r="F98" s="61">
        <f>$I$76*(1+Supuestos!$B$8)^A98</f>
        <v>0</v>
      </c>
      <c r="G98" s="61">
        <f t="shared" si="25"/>
        <v>106276092.99662638</v>
      </c>
      <c r="H98" s="61">
        <f>D98+E98+F98-(Supuestos!$B$19*$B$6+Supuestos!$B$20*$F$6)*(1+Supuestos!$B$8)^(A98-1)</f>
        <v>9737882.0855651014</v>
      </c>
      <c r="I98" s="61">
        <f>IF(A98&lt;=Supuestos!$J$31,$K$76*(1-Supuestos!$B$11)^A98*Supuestos!$I$31*(1+Supuestos!$B$9)^(A98-1),0)</f>
        <v>0</v>
      </c>
      <c r="J98" s="61">
        <f>E98*Supuestos!$K$31</f>
        <v>1856440.9492226522</v>
      </c>
      <c r="K98" s="61">
        <f>D98-I98+E98-J98+F98-IF(A98&lt;=Supuestos!$J$31,0,Supuestos!$B$19*$B$6*(1+Supuestos!$B$8)^(A98-1))</f>
        <v>8415156.8885107022</v>
      </c>
      <c r="L98" s="61">
        <f>I98+J98-IF(A98&lt;=Supuestos!$J$31,(Supuestos!$B$19*$B$6+Supuestos!$B$20*$F$6),Supuestos!$B$20*$F$6)*(1+Supuestos!$B$8)^(A98-1)</f>
        <v>1322725.197054401</v>
      </c>
    </row>
    <row r="99" spans="1:12" x14ac:dyDescent="0.3">
      <c r="A99" s="69" t="s">
        <v>212</v>
      </c>
      <c r="H99" s="73">
        <f>SUM(H79:H98)</f>
        <v>126556368.79730575</v>
      </c>
      <c r="K99" s="73">
        <f>SUM(K79:K98)</f>
        <v>68494799.632186875</v>
      </c>
      <c r="L99" s="73">
        <f>SUM(L79:L98)</f>
        <v>58061569.165118881</v>
      </c>
    </row>
    <row r="100" spans="1:12" x14ac:dyDescent="0.3">
      <c r="F100" s="69" t="s">
        <v>213</v>
      </c>
      <c r="G100" s="74">
        <f>IRR(H78:H98)</f>
        <v>0.28566511637404579</v>
      </c>
      <c r="I100" s="69" t="s">
        <v>214</v>
      </c>
      <c r="K100" s="75">
        <f>NPV(Supuestos!$B$7,H79:H98)+H78</f>
        <v>23650282.290268995</v>
      </c>
    </row>
    <row r="101" spans="1:12" x14ac:dyDescent="0.3">
      <c r="F101" s="69" t="s">
        <v>215</v>
      </c>
      <c r="G101" s="74">
        <f>IRR(L78:L98)</f>
        <v>0.18105675146257494</v>
      </c>
      <c r="I101" s="69" t="s">
        <v>216</v>
      </c>
      <c r="K101" s="75">
        <f>NPV(Supuestos!$B$7,K79:K98)+K78</f>
        <v>17062719.450375687</v>
      </c>
    </row>
    <row r="102" spans="1:12" x14ac:dyDescent="0.3">
      <c r="A102" s="63" t="s">
        <v>217</v>
      </c>
    </row>
    <row r="104" spans="1:12" ht="18" customHeight="1" x14ac:dyDescent="0.3">
      <c r="A104" s="3" t="s">
        <v>218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x14ac:dyDescent="0.3">
      <c r="A105" s="34" t="s">
        <v>219</v>
      </c>
      <c r="B105" s="34" t="s">
        <v>220</v>
      </c>
      <c r="C105" s="34" t="s">
        <v>221</v>
      </c>
    </row>
    <row r="106" spans="1:12" x14ac:dyDescent="0.3">
      <c r="A106" s="23" t="s">
        <v>222</v>
      </c>
      <c r="B106" s="76">
        <f>B26+B25+D25</f>
        <v>15864454.125</v>
      </c>
      <c r="C106" s="76">
        <v>0</v>
      </c>
      <c r="D106" s="5" t="s">
        <v>223</v>
      </c>
    </row>
    <row r="107" spans="1:12" x14ac:dyDescent="0.3">
      <c r="A107" s="23" t="s">
        <v>224</v>
      </c>
      <c r="B107" s="76">
        <f>H79</f>
        <v>3792401.3777777762</v>
      </c>
      <c r="C107" s="76">
        <f>K79</f>
        <v>1246444.2003433425</v>
      </c>
    </row>
    <row r="108" spans="1:12" x14ac:dyDescent="0.3">
      <c r="A108" s="23" t="s">
        <v>225</v>
      </c>
      <c r="B108" s="76">
        <f>H99</f>
        <v>126556368.79730575</v>
      </c>
      <c r="C108" s="76">
        <f>SUM(K79:K98)</f>
        <v>68494799.632186875</v>
      </c>
    </row>
    <row r="109" spans="1:12" x14ac:dyDescent="0.3">
      <c r="A109" s="23" t="s">
        <v>226</v>
      </c>
      <c r="B109" s="77">
        <f>G100</f>
        <v>0.28566511637404579</v>
      </c>
      <c r="C109" s="77">
        <f>G101</f>
        <v>0.18105675146257494</v>
      </c>
    </row>
    <row r="110" spans="1:12" x14ac:dyDescent="0.3">
      <c r="A110" s="23" t="s">
        <v>227</v>
      </c>
      <c r="B110" s="78" t="s">
        <v>228</v>
      </c>
      <c r="C110" s="15">
        <f>Supuestos!$I$31</f>
        <v>1.5891</v>
      </c>
    </row>
    <row r="111" spans="1:12" x14ac:dyDescent="0.3">
      <c r="A111" s="23" t="s">
        <v>229</v>
      </c>
      <c r="C111" s="79">
        <f>Supuestos!$J$31</f>
        <v>15</v>
      </c>
    </row>
    <row r="113" spans="1:12" ht="18" customHeight="1" x14ac:dyDescent="0.3">
      <c r="A113" s="3" t="s">
        <v>230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ht="15" customHeight="1" x14ac:dyDescent="0.3">
      <c r="A114" s="100" t="s">
        <v>255</v>
      </c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</row>
    <row r="115" spans="1:12" x14ac:dyDescent="0.3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</row>
    <row r="116" spans="1:12" x14ac:dyDescent="0.3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</row>
    <row r="117" spans="1:12" x14ac:dyDescent="0.3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</row>
    <row r="118" spans="1:12" x14ac:dyDescent="0.3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</row>
    <row r="119" spans="1:12" x14ac:dyDescent="0.3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</row>
  </sheetData>
  <mergeCells count="1">
    <mergeCell ref="A114:L11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9"/>
  <sheetViews>
    <sheetView showGridLines="0" zoomScaleNormal="100" workbookViewId="0">
      <pane ySplit="3" topLeftCell="A77" activePane="bottomLeft" state="frozen"/>
      <selection pane="bottomLeft" activeCell="E11" sqref="B11:E11"/>
    </sheetView>
  </sheetViews>
  <sheetFormatPr defaultColWidth="8.6640625" defaultRowHeight="14.4" x14ac:dyDescent="0.3"/>
  <cols>
    <col min="1" max="1" width="45.5546875" customWidth="1"/>
    <col min="2" max="18" width="12" customWidth="1"/>
  </cols>
  <sheetData>
    <row r="1" spans="1:12" ht="16.8" x14ac:dyDescent="0.3">
      <c r="A1" s="20" t="s">
        <v>256</v>
      </c>
    </row>
    <row r="2" spans="1:12" x14ac:dyDescent="0.3">
      <c r="A2" s="5" t="s">
        <v>257</v>
      </c>
    </row>
    <row r="3" spans="1:12" x14ac:dyDescent="0.3">
      <c r="A3" s="29" t="s">
        <v>247</v>
      </c>
    </row>
    <row r="5" spans="1:12" ht="18" customHeight="1" x14ac:dyDescent="0.3">
      <c r="A5" s="3" t="s">
        <v>102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3">
      <c r="A6" s="10" t="s">
        <v>85</v>
      </c>
      <c r="B6" s="30">
        <f>Supuestos!$B$32</f>
        <v>1565.135</v>
      </c>
      <c r="C6" s="10" t="s">
        <v>86</v>
      </c>
      <c r="D6" s="30">
        <f>Supuestos!$C$32</f>
        <v>1252.5</v>
      </c>
      <c r="E6" s="10" t="s">
        <v>87</v>
      </c>
      <c r="F6" s="30">
        <f>Supuestos!$D$32</f>
        <v>2450</v>
      </c>
      <c r="G6" s="23" t="s">
        <v>103</v>
      </c>
      <c r="H6" s="31">
        <f>Supuestos!$D$32*Supuestos!$B$17*SQRT(Supuestos!$B$18)</f>
        <v>2304.4799500104136</v>
      </c>
      <c r="I6" s="10" t="s">
        <v>104</v>
      </c>
      <c r="J6" s="32" t="str">
        <f>Supuestos!$E$32</f>
        <v>No</v>
      </c>
      <c r="K6" s="5" t="s">
        <v>105</v>
      </c>
      <c r="L6" s="33">
        <f>$B$10/(SUM(P45:P56)+SUM(R30:R41))</f>
        <v>0.99999999996576638</v>
      </c>
    </row>
    <row r="8" spans="1:12" ht="18" customHeight="1" x14ac:dyDescent="0.3">
      <c r="A8" s="3" t="s">
        <v>106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3">
      <c r="A9" s="34" t="s">
        <v>107</v>
      </c>
      <c r="B9" s="34" t="s">
        <v>108</v>
      </c>
      <c r="C9" s="34" t="s">
        <v>109</v>
      </c>
      <c r="D9" s="34" t="s">
        <v>110</v>
      </c>
      <c r="E9" s="34" t="s">
        <v>111</v>
      </c>
    </row>
    <row r="10" spans="1:12" x14ac:dyDescent="0.3">
      <c r="A10" s="10" t="s">
        <v>112</v>
      </c>
      <c r="B10" s="35">
        <v>108810402.59</v>
      </c>
      <c r="C10" s="36">
        <f>B10/D10</f>
        <v>2.3799541668586888</v>
      </c>
      <c r="D10" s="31">
        <v>45719537</v>
      </c>
      <c r="E10" s="5" t="s">
        <v>113</v>
      </c>
    </row>
    <row r="11" spans="1:12" x14ac:dyDescent="0.3">
      <c r="A11" s="23" t="s">
        <v>248</v>
      </c>
      <c r="B11" s="37">
        <v>6673632.7999999998</v>
      </c>
      <c r="E11" s="5" t="s">
        <v>249</v>
      </c>
    </row>
    <row r="12" spans="1:12" x14ac:dyDescent="0.3">
      <c r="A12" s="38" t="s">
        <v>116</v>
      </c>
      <c r="B12" s="39">
        <f>B10-B11</f>
        <v>102136769.79000001</v>
      </c>
      <c r="C12" s="40">
        <f>B12/D12</f>
        <v>2.2339852170856411</v>
      </c>
      <c r="D12" s="41">
        <f>D10</f>
        <v>45719537</v>
      </c>
      <c r="E12" s="42"/>
    </row>
    <row r="13" spans="1:12" x14ac:dyDescent="0.3">
      <c r="A13" s="5" t="s">
        <v>117</v>
      </c>
      <c r="B13" s="43">
        <v>55799375.100000001</v>
      </c>
      <c r="C13" s="33">
        <f>B13/D13</f>
        <v>2.8304056280456367</v>
      </c>
      <c r="D13" s="44">
        <v>19714268</v>
      </c>
    </row>
    <row r="14" spans="1:12" x14ac:dyDescent="0.3">
      <c r="A14" s="5" t="s">
        <v>250</v>
      </c>
      <c r="B14" s="43">
        <v>46337394.700000003</v>
      </c>
      <c r="C14" s="33">
        <f>B14/D14</f>
        <v>1.781846390437261</v>
      </c>
      <c r="D14" s="44">
        <v>26005269</v>
      </c>
    </row>
    <row r="15" spans="1:12" x14ac:dyDescent="0.3">
      <c r="A15" s="2" t="s">
        <v>251</v>
      </c>
      <c r="B15" s="80">
        <f>D13/D12</f>
        <v>0.43120007973834029</v>
      </c>
      <c r="C15" s="2" t="s">
        <v>252</v>
      </c>
      <c r="D15" s="80">
        <f>D14/D12</f>
        <v>0.56879992026165971</v>
      </c>
      <c r="E15" s="2" t="s">
        <v>253</v>
      </c>
    </row>
    <row r="16" spans="1:12" x14ac:dyDescent="0.3">
      <c r="A16" s="45" t="s">
        <v>119</v>
      </c>
    </row>
    <row r="17" spans="1:18" x14ac:dyDescent="0.3">
      <c r="A17" s="23" t="s">
        <v>120</v>
      </c>
      <c r="B17" s="37">
        <f>F72</f>
        <v>4713237.4542866573</v>
      </c>
      <c r="D17" s="31">
        <f>C72</f>
        <v>2598280.6135000004</v>
      </c>
      <c r="E17" s="5" t="s">
        <v>121</v>
      </c>
    </row>
    <row r="18" spans="1:18" x14ac:dyDescent="0.3">
      <c r="A18" s="23" t="s">
        <v>122</v>
      </c>
      <c r="B18" s="37">
        <f>G72</f>
        <v>4954128.6243784623</v>
      </c>
    </row>
    <row r="19" spans="1:18" x14ac:dyDescent="0.3">
      <c r="A19" s="23" t="s">
        <v>123</v>
      </c>
      <c r="B19" s="37">
        <f>H72</f>
        <v>0</v>
      </c>
      <c r="E19" s="5" t="s">
        <v>124</v>
      </c>
    </row>
    <row r="20" spans="1:18" x14ac:dyDescent="0.3">
      <c r="A20" s="46" t="s">
        <v>125</v>
      </c>
      <c r="B20" s="35">
        <f>B12-B17-B18-B19</f>
        <v>92469403.711334899</v>
      </c>
      <c r="C20" s="47"/>
      <c r="D20" s="47"/>
      <c r="E20" s="47"/>
    </row>
    <row r="21" spans="1:18" x14ac:dyDescent="0.3">
      <c r="A21" s="48" t="s">
        <v>126</v>
      </c>
      <c r="B21" s="49">
        <f>B17+B18+B19</f>
        <v>9667366.0786651187</v>
      </c>
      <c r="C21" s="50">
        <f>B21/B12</f>
        <v>9.4651182904470804E-2</v>
      </c>
    </row>
    <row r="22" spans="1:18" x14ac:dyDescent="0.3">
      <c r="A22" s="48" t="s">
        <v>127</v>
      </c>
      <c r="B22" s="49">
        <f>B10-B20</f>
        <v>16340998.878665105</v>
      </c>
      <c r="C22" s="50">
        <f>B22/B10</f>
        <v>0.15017864551276727</v>
      </c>
    </row>
    <row r="24" spans="1:18" ht="18" customHeight="1" x14ac:dyDescent="0.3">
      <c r="A24" s="3" t="s">
        <v>128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8" x14ac:dyDescent="0.3">
      <c r="A25" s="23" t="s">
        <v>129</v>
      </c>
      <c r="B25" s="37">
        <f>$B$6*1000*Supuestos!$F$32*Supuestos!$B$5</f>
        <v>20601089.4375</v>
      </c>
      <c r="C25" s="23" t="s">
        <v>130</v>
      </c>
      <c r="D25" s="37">
        <f>$F$6*Supuestos!$G$32*Supuestos!$B$5</f>
        <v>12039300</v>
      </c>
    </row>
    <row r="26" spans="1:18" x14ac:dyDescent="0.3">
      <c r="A26" s="23" t="s">
        <v>131</v>
      </c>
      <c r="B26" s="51">
        <f>Supuestos!$H$32</f>
        <v>0</v>
      </c>
      <c r="C26" s="10" t="s">
        <v>132</v>
      </c>
      <c r="D26" s="35">
        <f>B25+D25+B26</f>
        <v>32640389.4375</v>
      </c>
      <c r="E26" s="2" t="s">
        <v>133</v>
      </c>
    </row>
    <row r="28" spans="1:18" ht="18" customHeight="1" x14ac:dyDescent="0.3">
      <c r="A28" s="3" t="s">
        <v>134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ht="25.5" customHeight="1" x14ac:dyDescent="0.3">
      <c r="A29" s="52" t="s">
        <v>135</v>
      </c>
      <c r="B29" s="52" t="s">
        <v>136</v>
      </c>
      <c r="C29" s="52" t="s">
        <v>137</v>
      </c>
      <c r="D29" s="52" t="s">
        <v>138</v>
      </c>
      <c r="E29" s="52" t="s">
        <v>139</v>
      </c>
      <c r="F29" s="52" t="s">
        <v>140</v>
      </c>
      <c r="G29" s="52" t="s">
        <v>141</v>
      </c>
      <c r="H29" s="52" t="s">
        <v>142</v>
      </c>
      <c r="I29" s="52" t="s">
        <v>143</v>
      </c>
      <c r="J29" s="52" t="s">
        <v>144</v>
      </c>
      <c r="K29" s="52" t="s">
        <v>145</v>
      </c>
      <c r="L29" s="52" t="s">
        <v>146</v>
      </c>
      <c r="M29" s="52" t="s">
        <v>147</v>
      </c>
      <c r="N29" s="52" t="s">
        <v>148</v>
      </c>
      <c r="O29" s="52" t="s">
        <v>149</v>
      </c>
      <c r="P29" s="52" t="s">
        <v>150</v>
      </c>
      <c r="Q29" s="52" t="s">
        <v>151</v>
      </c>
      <c r="R29" s="52" t="s">
        <v>152</v>
      </c>
    </row>
    <row r="30" spans="1:18" x14ac:dyDescent="0.3">
      <c r="A30" s="53" t="s">
        <v>153</v>
      </c>
      <c r="B30" s="54">
        <v>1127389</v>
      </c>
      <c r="C30" s="54">
        <v>1795542</v>
      </c>
      <c r="D30" s="54">
        <v>466031</v>
      </c>
      <c r="E30" s="54">
        <v>31</v>
      </c>
      <c r="F30" s="54">
        <v>6670</v>
      </c>
      <c r="G30" s="54">
        <v>6718</v>
      </c>
      <c r="H30" s="55">
        <v>1.8196749999999999</v>
      </c>
      <c r="I30" s="55">
        <v>1.1066499999999999</v>
      </c>
      <c r="J30" s="55">
        <v>2.1272000000000002</v>
      </c>
      <c r="K30" s="54">
        <v>402.07249999999999</v>
      </c>
      <c r="L30" s="56">
        <v>86.15</v>
      </c>
      <c r="M30" s="54">
        <v>703.36</v>
      </c>
      <c r="N30" s="55">
        <v>142.80000000000001</v>
      </c>
      <c r="O30" s="57">
        <v>1</v>
      </c>
      <c r="P30" s="54">
        <v>4</v>
      </c>
      <c r="Q30" s="54">
        <v>22</v>
      </c>
      <c r="R30" s="58">
        <v>-3068.41</v>
      </c>
    </row>
    <row r="31" spans="1:18" x14ac:dyDescent="0.3">
      <c r="A31" s="53" t="s">
        <v>154</v>
      </c>
      <c r="B31" s="54">
        <v>1258745</v>
      </c>
      <c r="C31" s="54">
        <v>1870728</v>
      </c>
      <c r="D31" s="54">
        <v>471567</v>
      </c>
      <c r="E31" s="54">
        <v>28</v>
      </c>
      <c r="F31" s="54">
        <v>6525</v>
      </c>
      <c r="G31" s="54">
        <v>6557</v>
      </c>
      <c r="H31" s="55">
        <v>1.8196749999999999</v>
      </c>
      <c r="I31" s="55">
        <v>1.1066499999999999</v>
      </c>
      <c r="J31" s="55">
        <v>2.1272000000000002</v>
      </c>
      <c r="K31" s="54">
        <v>402.07249999999999</v>
      </c>
      <c r="L31" s="56">
        <v>86.15</v>
      </c>
      <c r="M31" s="54">
        <v>703.36</v>
      </c>
      <c r="N31" s="55">
        <v>139.1</v>
      </c>
      <c r="O31" s="57">
        <v>1</v>
      </c>
      <c r="P31" s="54">
        <v>4</v>
      </c>
      <c r="Q31" s="54">
        <v>19</v>
      </c>
      <c r="R31" s="58">
        <v>-1746.75</v>
      </c>
    </row>
    <row r="32" spans="1:18" x14ac:dyDescent="0.3">
      <c r="A32" s="53" t="s">
        <v>155</v>
      </c>
      <c r="B32" s="54">
        <v>1582579</v>
      </c>
      <c r="C32" s="54">
        <v>2238743</v>
      </c>
      <c r="D32" s="54">
        <v>538917</v>
      </c>
      <c r="E32" s="54">
        <v>31</v>
      </c>
      <c r="F32" s="54">
        <v>6470</v>
      </c>
      <c r="G32" s="54">
        <v>6470</v>
      </c>
      <c r="H32" s="55">
        <v>1.8196749999999999</v>
      </c>
      <c r="I32" s="55">
        <v>1.1066499999999999</v>
      </c>
      <c r="J32" s="55">
        <v>2.1272000000000002</v>
      </c>
      <c r="K32" s="54">
        <v>402.07249999999999</v>
      </c>
      <c r="L32" s="56">
        <v>86.15</v>
      </c>
      <c r="M32" s="54">
        <v>703.36</v>
      </c>
      <c r="N32" s="55">
        <v>170.1</v>
      </c>
      <c r="O32" s="57">
        <v>1</v>
      </c>
      <c r="P32" s="54">
        <v>4</v>
      </c>
      <c r="Q32" s="54">
        <v>20</v>
      </c>
      <c r="R32" s="58">
        <v>-2882.66</v>
      </c>
    </row>
    <row r="33" spans="1:18" x14ac:dyDescent="0.3">
      <c r="A33" s="53" t="s">
        <v>156</v>
      </c>
      <c r="B33" s="54">
        <v>1391931</v>
      </c>
      <c r="C33" s="54">
        <v>2472488</v>
      </c>
      <c r="D33" s="54">
        <v>308716</v>
      </c>
      <c r="E33" s="54">
        <v>30</v>
      </c>
      <c r="F33" s="54">
        <v>6489</v>
      </c>
      <c r="G33" s="54">
        <v>6597</v>
      </c>
      <c r="H33" s="55">
        <v>1.8196749999999999</v>
      </c>
      <c r="I33" s="55">
        <v>1.1066499999999999</v>
      </c>
      <c r="J33" s="55">
        <v>2.1272000000000002</v>
      </c>
      <c r="K33" s="54">
        <v>402.07249999999999</v>
      </c>
      <c r="L33" s="56">
        <v>86.15</v>
      </c>
      <c r="M33" s="54">
        <v>703.36</v>
      </c>
      <c r="N33" s="55">
        <v>150.69999999999999</v>
      </c>
      <c r="O33" s="57">
        <v>1</v>
      </c>
      <c r="P33" s="54">
        <v>2</v>
      </c>
      <c r="Q33" s="54">
        <v>22</v>
      </c>
      <c r="R33" s="58">
        <v>-5739.34</v>
      </c>
    </row>
    <row r="34" spans="1:18" x14ac:dyDescent="0.3">
      <c r="A34" s="53" t="s">
        <v>157</v>
      </c>
      <c r="B34" s="54">
        <v>1554976</v>
      </c>
      <c r="C34" s="54">
        <v>2674916</v>
      </c>
      <c r="D34" s="54">
        <v>252409</v>
      </c>
      <c r="E34" s="54">
        <v>31</v>
      </c>
      <c r="F34" s="54">
        <v>6509</v>
      </c>
      <c r="G34" s="54">
        <v>6565</v>
      </c>
      <c r="H34" s="55">
        <v>1.8196749999999999</v>
      </c>
      <c r="I34" s="55">
        <v>1.1066499999999999</v>
      </c>
      <c r="J34" s="55">
        <v>2.1272000000000002</v>
      </c>
      <c r="K34" s="54">
        <v>402.07249999999999</v>
      </c>
      <c r="L34" s="56">
        <v>86.15</v>
      </c>
      <c r="M34" s="54">
        <v>703.36</v>
      </c>
      <c r="N34" s="55">
        <v>143.1</v>
      </c>
      <c r="O34" s="57">
        <v>1</v>
      </c>
      <c r="P34" s="54">
        <v>2</v>
      </c>
      <c r="Q34" s="54">
        <v>21</v>
      </c>
      <c r="R34" s="58">
        <v>-9014.39</v>
      </c>
    </row>
    <row r="35" spans="1:18" x14ac:dyDescent="0.3">
      <c r="A35" s="53" t="s">
        <v>158</v>
      </c>
      <c r="B35" s="54">
        <v>1461034</v>
      </c>
      <c r="C35" s="54">
        <v>2511016</v>
      </c>
      <c r="D35" s="54">
        <v>251483</v>
      </c>
      <c r="E35" s="54">
        <v>30</v>
      </c>
      <c r="F35" s="54">
        <v>6634</v>
      </c>
      <c r="G35" s="54">
        <v>6744</v>
      </c>
      <c r="H35" s="55">
        <v>1.8196749999999999</v>
      </c>
      <c r="I35" s="55">
        <v>1.1066499999999999</v>
      </c>
      <c r="J35" s="55">
        <v>2.1272000000000002</v>
      </c>
      <c r="K35" s="54">
        <v>402.07249999999999</v>
      </c>
      <c r="L35" s="56">
        <v>86.15</v>
      </c>
      <c r="M35" s="54">
        <v>703.36</v>
      </c>
      <c r="N35" s="55">
        <v>133.9</v>
      </c>
      <c r="O35" s="57">
        <v>1</v>
      </c>
      <c r="P35" s="54">
        <v>2</v>
      </c>
      <c r="Q35" s="54">
        <v>21</v>
      </c>
      <c r="R35" s="58">
        <v>-31375.9</v>
      </c>
    </row>
    <row r="36" spans="1:18" x14ac:dyDescent="0.3">
      <c r="A36" s="53" t="s">
        <v>159</v>
      </c>
      <c r="B36" s="54">
        <v>1213977</v>
      </c>
      <c r="C36" s="54">
        <v>2229430</v>
      </c>
      <c r="D36" s="54">
        <v>229493</v>
      </c>
      <c r="E36" s="54">
        <v>31</v>
      </c>
      <c r="F36" s="54">
        <v>5851</v>
      </c>
      <c r="G36" s="54">
        <v>5873</v>
      </c>
      <c r="H36" s="55">
        <v>1.8196749999999999</v>
      </c>
      <c r="I36" s="55">
        <v>1.1066499999999999</v>
      </c>
      <c r="J36" s="55">
        <v>2.1272000000000002</v>
      </c>
      <c r="K36" s="54">
        <v>402.07249999999999</v>
      </c>
      <c r="L36" s="56">
        <v>86.15</v>
      </c>
      <c r="M36" s="54">
        <v>703.36</v>
      </c>
      <c r="N36" s="55">
        <v>135.19999999999999</v>
      </c>
      <c r="O36" s="57">
        <v>1</v>
      </c>
      <c r="P36" s="54">
        <v>2</v>
      </c>
      <c r="Q36" s="54">
        <v>23</v>
      </c>
      <c r="R36" s="58">
        <v>-47885.63</v>
      </c>
    </row>
    <row r="37" spans="1:18" x14ac:dyDescent="0.3">
      <c r="A37" s="53" t="s">
        <v>160</v>
      </c>
      <c r="B37" s="54">
        <v>1460355</v>
      </c>
      <c r="C37" s="54">
        <v>2480903</v>
      </c>
      <c r="D37" s="54">
        <v>235656</v>
      </c>
      <c r="E37" s="54">
        <v>31</v>
      </c>
      <c r="F37" s="54">
        <v>6354</v>
      </c>
      <c r="G37" s="54">
        <v>6492</v>
      </c>
      <c r="H37" s="55">
        <v>1.8196749999999999</v>
      </c>
      <c r="I37" s="55">
        <v>1.1066499999999999</v>
      </c>
      <c r="J37" s="55">
        <v>2.1272000000000002</v>
      </c>
      <c r="K37" s="54">
        <v>402.07249999999999</v>
      </c>
      <c r="L37" s="56">
        <v>86.15</v>
      </c>
      <c r="M37" s="54">
        <v>703.36</v>
      </c>
      <c r="N37" s="55">
        <v>126.5</v>
      </c>
      <c r="O37" s="57">
        <v>1</v>
      </c>
      <c r="P37" s="54">
        <v>2</v>
      </c>
      <c r="Q37" s="54">
        <v>21</v>
      </c>
      <c r="R37" s="58">
        <v>-45455.49</v>
      </c>
    </row>
    <row r="38" spans="1:18" x14ac:dyDescent="0.3">
      <c r="A38" s="53" t="s">
        <v>161</v>
      </c>
      <c r="B38" s="54">
        <v>1257774</v>
      </c>
      <c r="C38" s="54">
        <v>2130853</v>
      </c>
      <c r="D38" s="54">
        <v>208228</v>
      </c>
      <c r="E38" s="54">
        <v>30</v>
      </c>
      <c r="F38" s="54">
        <v>5562</v>
      </c>
      <c r="G38" s="54">
        <v>6311</v>
      </c>
      <c r="H38" s="55">
        <v>1.8196749999999999</v>
      </c>
      <c r="I38" s="55">
        <v>1.1066499999999999</v>
      </c>
      <c r="J38" s="55">
        <v>2.1272000000000002</v>
      </c>
      <c r="K38" s="54">
        <v>402.07249999999999</v>
      </c>
      <c r="L38" s="56">
        <v>86.15</v>
      </c>
      <c r="M38" s="54">
        <v>703.36</v>
      </c>
      <c r="N38" s="55">
        <v>119.5</v>
      </c>
      <c r="O38" s="57">
        <v>1</v>
      </c>
      <c r="P38" s="54">
        <v>2</v>
      </c>
      <c r="Q38" s="54">
        <v>21</v>
      </c>
      <c r="R38" s="58">
        <v>-48968.46</v>
      </c>
    </row>
    <row r="39" spans="1:18" x14ac:dyDescent="0.3">
      <c r="A39" s="53" t="s">
        <v>162</v>
      </c>
      <c r="B39" s="54">
        <v>1080780</v>
      </c>
      <c r="C39" s="54">
        <v>2010757</v>
      </c>
      <c r="D39" s="54">
        <v>247787</v>
      </c>
      <c r="E39" s="54">
        <v>31</v>
      </c>
      <c r="F39" s="54">
        <v>4470</v>
      </c>
      <c r="G39" s="54">
        <v>4522</v>
      </c>
      <c r="H39" s="55">
        <v>1.8196749999999999</v>
      </c>
      <c r="I39" s="55">
        <v>1.1066499999999999</v>
      </c>
      <c r="J39" s="55">
        <v>2.1272000000000002</v>
      </c>
      <c r="K39" s="54">
        <v>402.07249999999999</v>
      </c>
      <c r="L39" s="56">
        <v>86.15</v>
      </c>
      <c r="M39" s="54">
        <v>703.36</v>
      </c>
      <c r="N39" s="55">
        <v>131.69999999999999</v>
      </c>
      <c r="O39" s="57">
        <v>1</v>
      </c>
      <c r="P39" s="54">
        <v>2</v>
      </c>
      <c r="Q39" s="54">
        <v>23</v>
      </c>
      <c r="R39" s="58">
        <v>-53687.85</v>
      </c>
    </row>
    <row r="40" spans="1:18" x14ac:dyDescent="0.3">
      <c r="A40" s="53" t="s">
        <v>163</v>
      </c>
      <c r="B40" s="54">
        <v>1215444</v>
      </c>
      <c r="C40" s="54">
        <v>1781412</v>
      </c>
      <c r="D40" s="54">
        <v>435452</v>
      </c>
      <c r="E40" s="54">
        <v>30</v>
      </c>
      <c r="F40" s="54">
        <v>6123</v>
      </c>
      <c r="G40" s="54">
        <v>6215</v>
      </c>
      <c r="H40" s="55">
        <v>1.8196749999999999</v>
      </c>
      <c r="I40" s="55">
        <v>1.1066499999999999</v>
      </c>
      <c r="J40" s="55">
        <v>2.1272000000000002</v>
      </c>
      <c r="K40" s="54">
        <v>402.07249999999999</v>
      </c>
      <c r="L40" s="56">
        <v>86.15</v>
      </c>
      <c r="M40" s="54">
        <v>703.36</v>
      </c>
      <c r="N40" s="55">
        <v>136.6</v>
      </c>
      <c r="O40" s="57">
        <v>1</v>
      </c>
      <c r="P40" s="54">
        <v>4</v>
      </c>
      <c r="Q40" s="54">
        <v>19</v>
      </c>
      <c r="R40" s="58">
        <v>-48131.55</v>
      </c>
    </row>
    <row r="41" spans="1:18" x14ac:dyDescent="0.3">
      <c r="A41" s="53" t="s">
        <v>164</v>
      </c>
      <c r="B41" s="54">
        <v>1136000</v>
      </c>
      <c r="C41" s="54">
        <v>1717671</v>
      </c>
      <c r="D41" s="54">
        <v>418355</v>
      </c>
      <c r="E41" s="54">
        <v>31</v>
      </c>
      <c r="F41" s="54">
        <v>5588</v>
      </c>
      <c r="G41" s="54">
        <v>6070</v>
      </c>
      <c r="H41" s="55">
        <v>1.8196749999999999</v>
      </c>
      <c r="I41" s="55">
        <v>1.1066499999999999</v>
      </c>
      <c r="J41" s="55">
        <v>2.1272000000000002</v>
      </c>
      <c r="K41" s="54">
        <v>402.07249999999999</v>
      </c>
      <c r="L41" s="56">
        <v>86.15</v>
      </c>
      <c r="M41" s="54">
        <v>703.36</v>
      </c>
      <c r="N41" s="55">
        <v>130.9</v>
      </c>
      <c r="O41" s="57">
        <v>1</v>
      </c>
      <c r="P41" s="54">
        <v>4</v>
      </c>
      <c r="Q41" s="54">
        <v>22</v>
      </c>
      <c r="R41" s="58">
        <v>-43469.54</v>
      </c>
    </row>
    <row r="42" spans="1:18" ht="18" customHeight="1" x14ac:dyDescent="0.3">
      <c r="A42" s="3" t="s">
        <v>165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8" ht="25.5" customHeight="1" x14ac:dyDescent="0.3">
      <c r="A43" s="52" t="s">
        <v>135</v>
      </c>
      <c r="B43" s="52" t="s">
        <v>166</v>
      </c>
      <c r="C43" s="52" t="s">
        <v>167</v>
      </c>
      <c r="D43" s="52" t="s">
        <v>168</v>
      </c>
      <c r="E43" s="52" t="s">
        <v>169</v>
      </c>
      <c r="F43" s="52" t="s">
        <v>170</v>
      </c>
      <c r="G43" s="52" t="s">
        <v>171</v>
      </c>
      <c r="H43" s="52" t="s">
        <v>172</v>
      </c>
      <c r="I43" s="52" t="s">
        <v>173</v>
      </c>
      <c r="J43" s="52" t="s">
        <v>174</v>
      </c>
      <c r="K43" s="52" t="s">
        <v>175</v>
      </c>
      <c r="L43" s="52" t="s">
        <v>176</v>
      </c>
      <c r="M43" s="52" t="s">
        <v>177</v>
      </c>
      <c r="N43" s="52" t="s">
        <v>178</v>
      </c>
      <c r="O43" s="52" t="s">
        <v>179</v>
      </c>
      <c r="P43" s="52" t="s">
        <v>180</v>
      </c>
      <c r="Q43" s="52" t="s">
        <v>181</v>
      </c>
    </row>
    <row r="45" spans="1:18" x14ac:dyDescent="0.3">
      <c r="A45" s="59" t="str">
        <f t="shared" ref="A45:A56" si="0">A30</f>
        <v>Ene</v>
      </c>
      <c r="B45" s="60">
        <f t="shared" ref="B45:B56" si="1">$B$6*N30</f>
        <v>223501.27800000002</v>
      </c>
      <c r="C45" s="60">
        <f>(B30+C30+D30)/(E30*24*Supuestos!$B$16)</f>
        <v>7991.3271080928125</v>
      </c>
      <c r="D45" s="60">
        <f t="shared" ref="D45:D56" si="2">MIN(B45*O30,C30)</f>
        <v>223501.27800000002</v>
      </c>
      <c r="E45" s="61">
        <f t="shared" ref="E45:E56" si="3">D45*H30*O45</f>
        <v>406699.68804465001</v>
      </c>
      <c r="F45" s="60">
        <f>((B30+C30+D30)-D45)/(E30*24*Supuestos!$B$16)</f>
        <v>7464.3008913412568</v>
      </c>
      <c r="G45" s="60">
        <f t="shared" ref="G45:G56" si="4">MIN(F30,C45)</f>
        <v>6670</v>
      </c>
      <c r="H45" s="60">
        <f t="shared" ref="H45:H56" si="5">MIN(F30,F45)</f>
        <v>6670</v>
      </c>
      <c r="I45" s="61">
        <f t="shared" ref="I45:I56" si="6">(G45-H45)*K30</f>
        <v>0</v>
      </c>
      <c r="J45" s="60">
        <f t="shared" ref="J45:J56" si="7">IF(P30=0,0,MIN($D$6,$H$6/P30))</f>
        <v>576.11998750260341</v>
      </c>
      <c r="K45" s="60">
        <f t="shared" ref="K45:K56" si="8">MIN(MAX(F30-J45,0),F45)</f>
        <v>6093.8800124973968</v>
      </c>
      <c r="L45" s="61">
        <f t="shared" ref="L45:L56" si="9">(H45-K45)*K30</f>
        <v>231642.00367514041</v>
      </c>
      <c r="M45" s="60">
        <f t="shared" ref="M45:M56" si="10">IF(P30=0,0,MIN($H$6*Q30,D30))</f>
        <v>50698.558900229102</v>
      </c>
      <c r="N45" s="61">
        <f>M45*J30-(M45/Supuestos!$B$18)*I30</f>
        <v>49402.682610339718</v>
      </c>
      <c r="O45" s="62">
        <v>1</v>
      </c>
      <c r="P45" s="61">
        <f t="shared" ref="P45:P56" si="11">M30+B30*I30+C30*H30+D30*J30+G45*K30+MIN(G30,C45)*L30</f>
        <v>8767551.7038999982</v>
      </c>
      <c r="Q45" s="61">
        <f t="shared" ref="Q45:Q56" si="12">(E45+I45)+(L45+N45)</f>
        <v>687744.37433013017</v>
      </c>
    </row>
    <row r="46" spans="1:18" x14ac:dyDescent="0.3">
      <c r="A46" s="59" t="str">
        <f t="shared" si="0"/>
        <v>Feb</v>
      </c>
      <c r="B46" s="60">
        <f t="shared" si="1"/>
        <v>217710.27849999999</v>
      </c>
      <c r="C46" s="60">
        <f>(B31+C31+D31)/(E31*24*Supuestos!$B$16)</f>
        <v>9401.2113617376781</v>
      </c>
      <c r="D46" s="60">
        <f t="shared" si="2"/>
        <v>217710.27849999999</v>
      </c>
      <c r="E46" s="61">
        <f t="shared" si="3"/>
        <v>396161.95102948748</v>
      </c>
      <c r="F46" s="60">
        <f>((B31+C31+D31)-D46)/(E31*24*Supuestos!$B$16)</f>
        <v>8832.8365745091905</v>
      </c>
      <c r="G46" s="60">
        <f t="shared" si="4"/>
        <v>6525</v>
      </c>
      <c r="H46" s="60">
        <f t="shared" si="5"/>
        <v>6525</v>
      </c>
      <c r="I46" s="61">
        <f t="shared" si="6"/>
        <v>0</v>
      </c>
      <c r="J46" s="60">
        <f t="shared" si="7"/>
        <v>576.11998750260341</v>
      </c>
      <c r="K46" s="60">
        <f t="shared" si="8"/>
        <v>5948.8800124973968</v>
      </c>
      <c r="L46" s="61">
        <f t="shared" si="9"/>
        <v>231642.00367514041</v>
      </c>
      <c r="M46" s="60">
        <f t="shared" si="10"/>
        <v>43785.119050197856</v>
      </c>
      <c r="N46" s="61">
        <f>M46*J31-(M46/Supuestos!$B$18)*I31</f>
        <v>42665.953163475206</v>
      </c>
      <c r="O46" s="62">
        <v>1</v>
      </c>
      <c r="P46" s="61">
        <f t="shared" si="11"/>
        <v>8989336.4225500003</v>
      </c>
      <c r="Q46" s="61">
        <f t="shared" si="12"/>
        <v>670469.90786810312</v>
      </c>
    </row>
    <row r="47" spans="1:18" x14ac:dyDescent="0.3">
      <c r="A47" s="59" t="str">
        <f t="shared" si="0"/>
        <v>Mar</v>
      </c>
      <c r="B47" s="60">
        <f t="shared" si="1"/>
        <v>266229.46350000001</v>
      </c>
      <c r="C47" s="60">
        <f>(B32+C32+D32)/(E32*24*Supuestos!$B$16)</f>
        <v>10281.64261460102</v>
      </c>
      <c r="D47" s="60">
        <f t="shared" si="2"/>
        <v>266229.46350000001</v>
      </c>
      <c r="E47" s="61">
        <f t="shared" si="3"/>
        <v>484451.09899436252</v>
      </c>
      <c r="F47" s="60">
        <f>((B32+C32+D32)-D47)/(E32*24*Supuestos!$B$16)</f>
        <v>9653.8613858234294</v>
      </c>
      <c r="G47" s="60">
        <f t="shared" si="4"/>
        <v>6470</v>
      </c>
      <c r="H47" s="60">
        <f t="shared" si="5"/>
        <v>6470</v>
      </c>
      <c r="I47" s="61">
        <f t="shared" si="6"/>
        <v>0</v>
      </c>
      <c r="J47" s="60">
        <f t="shared" si="7"/>
        <v>576.11998750260341</v>
      </c>
      <c r="K47" s="60">
        <f t="shared" si="8"/>
        <v>5893.8800124973968</v>
      </c>
      <c r="L47" s="61">
        <f t="shared" si="9"/>
        <v>231642.00367514041</v>
      </c>
      <c r="M47" s="60">
        <f t="shared" si="10"/>
        <v>46089.599000208269</v>
      </c>
      <c r="N47" s="61">
        <f>M47*J32-(M47/Supuestos!$B$18)*I32</f>
        <v>44911.529645763367</v>
      </c>
      <c r="O47" s="62">
        <v>1</v>
      </c>
      <c r="P47" s="61">
        <f t="shared" si="11"/>
        <v>10131032.896274999</v>
      </c>
      <c r="Q47" s="61">
        <f t="shared" si="12"/>
        <v>761004.6323152663</v>
      </c>
    </row>
    <row r="48" spans="1:18" x14ac:dyDescent="0.3">
      <c r="A48" s="59" t="str">
        <f t="shared" si="0"/>
        <v>Abr</v>
      </c>
      <c r="B48" s="60">
        <f t="shared" si="1"/>
        <v>235865.84449999998</v>
      </c>
      <c r="C48" s="60">
        <f>(B33+C33+D33)/(E33*24*Supuestos!$B$16)</f>
        <v>10168.457602339182</v>
      </c>
      <c r="D48" s="60">
        <f t="shared" si="2"/>
        <v>235865.84449999998</v>
      </c>
      <c r="E48" s="61">
        <f t="shared" si="3"/>
        <v>429199.18059053743</v>
      </c>
      <c r="F48" s="60">
        <f>((B33+C33+D33)-D48)/(E33*24*Supuestos!$B$16)</f>
        <v>9593.7357590155952</v>
      </c>
      <c r="G48" s="60">
        <f t="shared" si="4"/>
        <v>6489</v>
      </c>
      <c r="H48" s="60">
        <f t="shared" si="5"/>
        <v>6489</v>
      </c>
      <c r="I48" s="61">
        <f t="shared" si="6"/>
        <v>0</v>
      </c>
      <c r="J48" s="60">
        <f t="shared" si="7"/>
        <v>1152.2399750052068</v>
      </c>
      <c r="K48" s="60">
        <f t="shared" si="8"/>
        <v>5336.7600249947936</v>
      </c>
      <c r="L48" s="61">
        <f t="shared" si="9"/>
        <v>463284.00735028082</v>
      </c>
      <c r="M48" s="60">
        <f t="shared" si="10"/>
        <v>50698.558900229102</v>
      </c>
      <c r="N48" s="61">
        <f>M48*J33-(M48/Supuestos!$B$18)*I33</f>
        <v>49402.682610339718</v>
      </c>
      <c r="O48" s="62">
        <v>1</v>
      </c>
      <c r="P48" s="61">
        <f t="shared" si="11"/>
        <v>9874289.0802500006</v>
      </c>
      <c r="Q48" s="61">
        <f t="shared" si="12"/>
        <v>941885.87055115798</v>
      </c>
    </row>
    <row r="49" spans="1:17" x14ac:dyDescent="0.3">
      <c r="A49" s="59" t="str">
        <f t="shared" si="0"/>
        <v>May</v>
      </c>
      <c r="B49" s="60">
        <f t="shared" si="1"/>
        <v>223970.81849999999</v>
      </c>
      <c r="C49" s="60">
        <f>(B34+C34+D34)/(E34*24*Supuestos!$B$16)</f>
        <v>10569.470382946614</v>
      </c>
      <c r="D49" s="60">
        <f t="shared" si="2"/>
        <v>223970.81849999999</v>
      </c>
      <c r="E49" s="61">
        <f t="shared" si="3"/>
        <v>407554.09915398748</v>
      </c>
      <c r="F49" s="60">
        <f>((B34+C34+D34)-D49)/(E34*24*Supuestos!$B$16)</f>
        <v>10041.336968260706</v>
      </c>
      <c r="G49" s="60">
        <f t="shared" si="4"/>
        <v>6509</v>
      </c>
      <c r="H49" s="60">
        <f t="shared" si="5"/>
        <v>6509</v>
      </c>
      <c r="I49" s="61">
        <f t="shared" si="6"/>
        <v>0</v>
      </c>
      <c r="J49" s="60">
        <f t="shared" si="7"/>
        <v>1152.2399750052068</v>
      </c>
      <c r="K49" s="60">
        <f t="shared" si="8"/>
        <v>5356.7600249947936</v>
      </c>
      <c r="L49" s="61">
        <f t="shared" si="9"/>
        <v>463284.00735028082</v>
      </c>
      <c r="M49" s="60">
        <f t="shared" si="10"/>
        <v>48394.078950218689</v>
      </c>
      <c r="N49" s="61">
        <f>M49*J34-(M49/Supuestos!$B$18)*I34</f>
        <v>47157.10612805155</v>
      </c>
      <c r="O49" s="62">
        <v>1</v>
      </c>
      <c r="P49" s="61">
        <f t="shared" si="11"/>
        <v>10308584.399999999</v>
      </c>
      <c r="Q49" s="61">
        <f t="shared" si="12"/>
        <v>917995.21263231989</v>
      </c>
    </row>
    <row r="50" spans="1:17" x14ac:dyDescent="0.3">
      <c r="A50" s="59" t="str">
        <f t="shared" si="0"/>
        <v>Jun</v>
      </c>
      <c r="B50" s="60">
        <f t="shared" si="1"/>
        <v>209571.5765</v>
      </c>
      <c r="C50" s="60">
        <f>(B35+C35+D35)/(E35*24*Supuestos!$B$16)</f>
        <v>10291.259746588694</v>
      </c>
      <c r="D50" s="60">
        <f t="shared" si="2"/>
        <v>209571.5765</v>
      </c>
      <c r="E50" s="61">
        <f t="shared" si="3"/>
        <v>381352.15846763749</v>
      </c>
      <c r="F50" s="60">
        <f>((B35+C35+D35)-D50)/(E35*24*Supuestos!$B$16)</f>
        <v>9780.6077570662783</v>
      </c>
      <c r="G50" s="60">
        <f t="shared" si="4"/>
        <v>6634</v>
      </c>
      <c r="H50" s="60">
        <f t="shared" si="5"/>
        <v>6634</v>
      </c>
      <c r="I50" s="61">
        <f t="shared" si="6"/>
        <v>0</v>
      </c>
      <c r="J50" s="60">
        <f t="shared" si="7"/>
        <v>1152.2399750052068</v>
      </c>
      <c r="K50" s="60">
        <f t="shared" si="8"/>
        <v>5481.7600249947936</v>
      </c>
      <c r="L50" s="61">
        <f t="shared" si="9"/>
        <v>463284.00735028082</v>
      </c>
      <c r="M50" s="60">
        <f t="shared" si="10"/>
        <v>48394.078950218689</v>
      </c>
      <c r="N50" s="61">
        <f>M50*J35-(M50/Supuestos!$B$18)*I35</f>
        <v>47157.10612805155</v>
      </c>
      <c r="O50" s="62">
        <v>1</v>
      </c>
      <c r="P50" s="61">
        <f t="shared" si="11"/>
        <v>9970088.8784999978</v>
      </c>
      <c r="Q50" s="61">
        <f t="shared" si="12"/>
        <v>891793.2719459699</v>
      </c>
    </row>
    <row r="51" spans="1:17" x14ac:dyDescent="0.3">
      <c r="A51" s="59" t="str">
        <f t="shared" si="0"/>
        <v>Jul</v>
      </c>
      <c r="B51" s="60">
        <f t="shared" si="1"/>
        <v>211606.25199999998</v>
      </c>
      <c r="C51" s="60">
        <f>(B36+C36+D36)/(E36*24*Supuestos!$B$16)</f>
        <v>8660.8658743633277</v>
      </c>
      <c r="D51" s="60">
        <f t="shared" si="2"/>
        <v>211606.25199999998</v>
      </c>
      <c r="E51" s="61">
        <f t="shared" si="3"/>
        <v>385054.60660809994</v>
      </c>
      <c r="F51" s="60">
        <f>((B36+C36+D36)-D51)/(E36*24*Supuestos!$B$16)</f>
        <v>8161.88867194869</v>
      </c>
      <c r="G51" s="60">
        <f t="shared" si="4"/>
        <v>5851</v>
      </c>
      <c r="H51" s="60">
        <f t="shared" si="5"/>
        <v>5851</v>
      </c>
      <c r="I51" s="61">
        <f t="shared" si="6"/>
        <v>0</v>
      </c>
      <c r="J51" s="60">
        <f t="shared" si="7"/>
        <v>1152.2399750052068</v>
      </c>
      <c r="K51" s="60">
        <f t="shared" si="8"/>
        <v>4698.7600249947936</v>
      </c>
      <c r="L51" s="61">
        <f t="shared" si="9"/>
        <v>463284.00735028082</v>
      </c>
      <c r="M51" s="60">
        <f t="shared" si="10"/>
        <v>53003.038850239514</v>
      </c>
      <c r="N51" s="61">
        <f>M51*J36-(M51/Supuestos!$B$18)*I36</f>
        <v>51648.259092627886</v>
      </c>
      <c r="O51" s="62">
        <v>1</v>
      </c>
      <c r="P51" s="61">
        <f t="shared" si="11"/>
        <v>8747651.6994000003</v>
      </c>
      <c r="Q51" s="61">
        <f t="shared" si="12"/>
        <v>899986.87305100868</v>
      </c>
    </row>
    <row r="52" spans="1:17" x14ac:dyDescent="0.3">
      <c r="A52" s="59" t="str">
        <f t="shared" si="0"/>
        <v>Ago</v>
      </c>
      <c r="B52" s="60">
        <f t="shared" si="1"/>
        <v>197989.57749999998</v>
      </c>
      <c r="C52" s="60">
        <f>(B37+C37+D37)/(E37*24*Supuestos!$B$16)</f>
        <v>9849.3538954914166</v>
      </c>
      <c r="D52" s="60">
        <f t="shared" si="2"/>
        <v>197989.57749999998</v>
      </c>
      <c r="E52" s="61">
        <f t="shared" si="3"/>
        <v>360276.68443731248</v>
      </c>
      <c r="F52" s="60">
        <f>((B37+C37+D37)-D52)/(E37*24*Supuestos!$B$16)</f>
        <v>9382.4854331729857</v>
      </c>
      <c r="G52" s="60">
        <f t="shared" si="4"/>
        <v>6354</v>
      </c>
      <c r="H52" s="60">
        <f t="shared" si="5"/>
        <v>6354</v>
      </c>
      <c r="I52" s="61">
        <f t="shared" si="6"/>
        <v>0</v>
      </c>
      <c r="J52" s="60">
        <f t="shared" si="7"/>
        <v>1152.2399750052068</v>
      </c>
      <c r="K52" s="60">
        <f t="shared" si="8"/>
        <v>5201.7600249947936</v>
      </c>
      <c r="L52" s="61">
        <f t="shared" si="9"/>
        <v>463284.00735028082</v>
      </c>
      <c r="M52" s="60">
        <f t="shared" si="10"/>
        <v>48394.078950218689</v>
      </c>
      <c r="N52" s="61">
        <f>M52*J37-(M52/Supuestos!$B$18)*I37</f>
        <v>47157.10612805155</v>
      </c>
      <c r="O52" s="62">
        <v>1</v>
      </c>
      <c r="P52" s="61">
        <f t="shared" si="11"/>
        <v>9746584.2954749987</v>
      </c>
      <c r="Q52" s="61">
        <f t="shared" si="12"/>
        <v>870717.79791564483</v>
      </c>
    </row>
    <row r="53" spans="1:17" x14ac:dyDescent="0.3">
      <c r="A53" s="59" t="str">
        <f t="shared" si="0"/>
        <v>Sep</v>
      </c>
      <c r="B53" s="60">
        <f t="shared" si="1"/>
        <v>187033.63250000001</v>
      </c>
      <c r="C53" s="60">
        <f>(B38+C38+D38)/(E38*24*Supuestos!$B$16)</f>
        <v>8764.2665692007795</v>
      </c>
      <c r="D53" s="60">
        <f t="shared" si="2"/>
        <v>187033.63250000001</v>
      </c>
      <c r="E53" s="61">
        <f t="shared" si="3"/>
        <v>340340.42521943751</v>
      </c>
      <c r="F53" s="60">
        <f>((B38+C38+D38)-D53)/(E38*24*Supuestos!$B$16)</f>
        <v>8308.5315972222234</v>
      </c>
      <c r="G53" s="60">
        <f t="shared" si="4"/>
        <v>5562</v>
      </c>
      <c r="H53" s="60">
        <f t="shared" si="5"/>
        <v>5562</v>
      </c>
      <c r="I53" s="61">
        <f t="shared" si="6"/>
        <v>0</v>
      </c>
      <c r="J53" s="60">
        <f t="shared" si="7"/>
        <v>1152.2399750052068</v>
      </c>
      <c r="K53" s="60">
        <f t="shared" si="8"/>
        <v>4409.7600249947936</v>
      </c>
      <c r="L53" s="61">
        <f t="shared" si="9"/>
        <v>463284.00735028082</v>
      </c>
      <c r="M53" s="60">
        <f t="shared" si="10"/>
        <v>48394.078950218689</v>
      </c>
      <c r="N53" s="61">
        <f>M53*J38-(M53/Supuestos!$B$18)*I38</f>
        <v>47157.10612805155</v>
      </c>
      <c r="O53" s="62">
        <v>1</v>
      </c>
      <c r="P53" s="61">
        <f t="shared" si="11"/>
        <v>8493041.3864749987</v>
      </c>
      <c r="Q53" s="61">
        <f t="shared" si="12"/>
        <v>850781.53869776987</v>
      </c>
    </row>
    <row r="54" spans="1:17" x14ac:dyDescent="0.3">
      <c r="A54" s="59" t="str">
        <f t="shared" si="0"/>
        <v>Oct</v>
      </c>
      <c r="B54" s="60">
        <f t="shared" si="1"/>
        <v>206128.27949999998</v>
      </c>
      <c r="C54" s="60">
        <f>(B39+C39+D39)/(E39*24*Supuestos!$B$16)</f>
        <v>7874.2784380305602</v>
      </c>
      <c r="D54" s="60">
        <f t="shared" si="2"/>
        <v>206128.27949999998</v>
      </c>
      <c r="E54" s="61">
        <f t="shared" si="3"/>
        <v>375086.47699916246</v>
      </c>
      <c r="F54" s="60">
        <f>((B39+C39+D39)-D54)/(E39*24*Supuestos!$B$16)</f>
        <v>7388.2185448500286</v>
      </c>
      <c r="G54" s="60">
        <f t="shared" si="4"/>
        <v>4470</v>
      </c>
      <c r="H54" s="60">
        <f t="shared" si="5"/>
        <v>4470</v>
      </c>
      <c r="I54" s="61">
        <f t="shared" si="6"/>
        <v>0</v>
      </c>
      <c r="J54" s="60">
        <f t="shared" si="7"/>
        <v>1152.2399750052068</v>
      </c>
      <c r="K54" s="60">
        <f t="shared" si="8"/>
        <v>3317.7600249947932</v>
      </c>
      <c r="L54" s="61">
        <f t="shared" si="9"/>
        <v>463284.007350281</v>
      </c>
      <c r="M54" s="60">
        <f t="shared" si="10"/>
        <v>53003.038850239514</v>
      </c>
      <c r="N54" s="61">
        <f>M54*J39-(M54/Supuestos!$B$18)*I39</f>
        <v>51648.259092627886</v>
      </c>
      <c r="O54" s="62">
        <v>1</v>
      </c>
      <c r="P54" s="61">
        <f t="shared" si="11"/>
        <v>7569599.6723750001</v>
      </c>
      <c r="Q54" s="61">
        <f t="shared" si="12"/>
        <v>890018.74344207137</v>
      </c>
    </row>
    <row r="55" spans="1:17" x14ac:dyDescent="0.3">
      <c r="A55" s="59" t="str">
        <f t="shared" si="0"/>
        <v>Nov</v>
      </c>
      <c r="B55" s="60">
        <f t="shared" si="1"/>
        <v>213797.44099999999</v>
      </c>
      <c r="C55" s="60">
        <f>(B40+C40+D40)/(E40*24*Supuestos!$B$16)</f>
        <v>8363.3235867446401</v>
      </c>
      <c r="D55" s="60">
        <f t="shared" si="2"/>
        <v>213797.44099999999</v>
      </c>
      <c r="E55" s="61">
        <f t="shared" si="3"/>
        <v>389041.85845167498</v>
      </c>
      <c r="F55" s="60">
        <f>((B40+C40+D40)-D55)/(E40*24*Supuestos!$B$16)</f>
        <v>7842.3746564327485</v>
      </c>
      <c r="G55" s="60">
        <f t="shared" si="4"/>
        <v>6123</v>
      </c>
      <c r="H55" s="60">
        <f t="shared" si="5"/>
        <v>6123</v>
      </c>
      <c r="I55" s="61">
        <f t="shared" si="6"/>
        <v>0</v>
      </c>
      <c r="J55" s="60">
        <f t="shared" si="7"/>
        <v>576.11998750260341</v>
      </c>
      <c r="K55" s="60">
        <f t="shared" si="8"/>
        <v>5546.8800124973968</v>
      </c>
      <c r="L55" s="61">
        <f t="shared" si="9"/>
        <v>231642.00367514041</v>
      </c>
      <c r="M55" s="60">
        <f t="shared" si="10"/>
        <v>43785.119050197856</v>
      </c>
      <c r="N55" s="61">
        <f>M55*J40-(M55/Supuestos!$B$18)*I40</f>
        <v>42665.953163475206</v>
      </c>
      <c r="O55" s="62">
        <v>1</v>
      </c>
      <c r="P55" s="61">
        <f t="shared" si="11"/>
        <v>8510971.0055999998</v>
      </c>
      <c r="Q55" s="61">
        <f t="shared" si="12"/>
        <v>663349.81529029063</v>
      </c>
    </row>
    <row r="56" spans="1:17" x14ac:dyDescent="0.3">
      <c r="A56" s="59" t="str">
        <f t="shared" si="0"/>
        <v>Dic</v>
      </c>
      <c r="B56" s="60">
        <f t="shared" si="1"/>
        <v>204876.1715</v>
      </c>
      <c r="C56" s="60">
        <f>(B41+C41+D41)/(E41*24*Supuestos!$B$16)</f>
        <v>7715.5866817581591</v>
      </c>
      <c r="D56" s="60">
        <f t="shared" si="2"/>
        <v>204876.1715</v>
      </c>
      <c r="E56" s="61">
        <f t="shared" si="3"/>
        <v>372808.04737426247</v>
      </c>
      <c r="F56" s="60">
        <f>((B41+C41+D41)-D56)/(E41*24*Supuestos!$B$16)</f>
        <v>7232.479316402565</v>
      </c>
      <c r="G56" s="60">
        <f t="shared" si="4"/>
        <v>5588</v>
      </c>
      <c r="H56" s="60">
        <f t="shared" si="5"/>
        <v>5588</v>
      </c>
      <c r="I56" s="61">
        <f t="shared" si="6"/>
        <v>0</v>
      </c>
      <c r="J56" s="60">
        <f t="shared" si="7"/>
        <v>576.11998750260341</v>
      </c>
      <c r="K56" s="60">
        <f t="shared" si="8"/>
        <v>5011.8800124973968</v>
      </c>
      <c r="L56" s="61">
        <f t="shared" si="9"/>
        <v>231642.00367514041</v>
      </c>
      <c r="M56" s="60">
        <f t="shared" si="10"/>
        <v>50698.558900229102</v>
      </c>
      <c r="N56" s="61">
        <f>M56*J41-(M56/Supuestos!$B$18)*I41</f>
        <v>49402.682610339718</v>
      </c>
      <c r="O56" s="62">
        <v>1</v>
      </c>
      <c r="P56" s="61">
        <f t="shared" si="11"/>
        <v>8043097.1229250003</v>
      </c>
      <c r="Q56" s="61">
        <f t="shared" si="12"/>
        <v>653852.73365974263</v>
      </c>
    </row>
    <row r="57" spans="1:17" x14ac:dyDescent="0.3">
      <c r="A57" s="63" t="s">
        <v>182</v>
      </c>
    </row>
    <row r="58" spans="1:17" ht="18" customHeight="1" x14ac:dyDescent="0.3">
      <c r="A58" s="3" t="s">
        <v>183</v>
      </c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7" ht="25.5" customHeight="1" x14ac:dyDescent="0.3">
      <c r="A59" s="64" t="s">
        <v>135</v>
      </c>
      <c r="B59" s="64" t="s">
        <v>184</v>
      </c>
      <c r="C59" s="64" t="s">
        <v>185</v>
      </c>
      <c r="D59" s="64" t="s">
        <v>186</v>
      </c>
      <c r="E59" s="64" t="s">
        <v>187</v>
      </c>
      <c r="F59" s="64" t="s">
        <v>188</v>
      </c>
      <c r="G59" s="64" t="s">
        <v>189</v>
      </c>
      <c r="H59" s="64" t="s">
        <v>190</v>
      </c>
      <c r="I59" s="64" t="s">
        <v>191</v>
      </c>
      <c r="J59" s="64" t="s">
        <v>192</v>
      </c>
      <c r="K59" s="64" t="s">
        <v>17</v>
      </c>
    </row>
    <row r="60" spans="1:17" x14ac:dyDescent="0.3">
      <c r="A60" s="12" t="str">
        <f t="shared" ref="A60:A71" si="13">A30</f>
        <v>Ene</v>
      </c>
      <c r="B60" s="65">
        <f t="shared" ref="B60:B71" si="14">B30+C30+D30</f>
        <v>3388962</v>
      </c>
      <c r="C60" s="65">
        <f t="shared" ref="C60:C71" si="15">B45</f>
        <v>223501.27800000002</v>
      </c>
      <c r="D60" s="65">
        <f t="shared" ref="D60:D71" si="16">M45</f>
        <v>50698.558900229102</v>
      </c>
      <c r="E60" s="66">
        <f t="shared" ref="E60:E71" si="17">(P45+R30)*$L$6</f>
        <v>8764483.2935999576</v>
      </c>
      <c r="F60" s="66">
        <f t="shared" ref="F60:F71" si="18">(E45+I45)*(1-IF(R30&lt;0,-R30/P45,0))</f>
        <v>406557.35396645602</v>
      </c>
      <c r="G60" s="66">
        <f t="shared" ref="G60:G71" si="19">(L45+N45)*(1-IF(R30&lt;0,-R30/P45,0))</f>
        <v>280946.32811720594</v>
      </c>
      <c r="H60" s="66">
        <f t="shared" ref="H60:H71" si="20">IF($J$6="Sí",MAX(0,R30),0)</f>
        <v>0</v>
      </c>
      <c r="I60" s="66">
        <f t="shared" ref="I60:I71" si="21">E60-F60-G60-H60</f>
        <v>8076979.6115162959</v>
      </c>
      <c r="J60" s="66">
        <f t="shared" ref="J60:J71" si="22">F60+G60+H60</f>
        <v>687503.6820836619</v>
      </c>
      <c r="K60" s="67">
        <f t="shared" ref="K60:K72" si="23">J60/E60</f>
        <v>7.8442009534742799E-2</v>
      </c>
    </row>
    <row r="61" spans="1:17" x14ac:dyDescent="0.3">
      <c r="A61" s="12" t="str">
        <f t="shared" si="13"/>
        <v>Feb</v>
      </c>
      <c r="B61" s="65">
        <f t="shared" si="14"/>
        <v>3601040</v>
      </c>
      <c r="C61" s="65">
        <f t="shared" si="15"/>
        <v>217710.27849999999</v>
      </c>
      <c r="D61" s="65">
        <f t="shared" si="16"/>
        <v>43785.119050197856</v>
      </c>
      <c r="E61" s="66">
        <f t="shared" si="17"/>
        <v>8987589.6722423229</v>
      </c>
      <c r="F61" s="66">
        <f t="shared" si="18"/>
        <v>396084.97138878505</v>
      </c>
      <c r="G61" s="66">
        <f t="shared" si="19"/>
        <v>274254.65508183563</v>
      </c>
      <c r="H61" s="66">
        <f t="shared" si="20"/>
        <v>0</v>
      </c>
      <c r="I61" s="66">
        <f t="shared" si="21"/>
        <v>8317250.0457717022</v>
      </c>
      <c r="J61" s="66">
        <f t="shared" si="22"/>
        <v>670339.62647062074</v>
      </c>
      <c r="K61" s="67">
        <f t="shared" si="23"/>
        <v>7.4585027901410306E-2</v>
      </c>
    </row>
    <row r="62" spans="1:17" x14ac:dyDescent="0.3">
      <c r="A62" s="12" t="str">
        <f t="shared" si="13"/>
        <v>Mar</v>
      </c>
      <c r="B62" s="65">
        <f t="shared" si="14"/>
        <v>4360239</v>
      </c>
      <c r="C62" s="65">
        <f t="shared" si="15"/>
        <v>266229.46350000001</v>
      </c>
      <c r="D62" s="65">
        <f t="shared" si="16"/>
        <v>46089.599000208269</v>
      </c>
      <c r="E62" s="66">
        <f t="shared" si="17"/>
        <v>10128150.235928275</v>
      </c>
      <c r="F62" s="66">
        <f t="shared" si="18"/>
        <v>484313.25443109591</v>
      </c>
      <c r="G62" s="66">
        <f t="shared" si="19"/>
        <v>276474.84343641473</v>
      </c>
      <c r="H62" s="66">
        <f t="shared" si="20"/>
        <v>0</v>
      </c>
      <c r="I62" s="66">
        <f t="shared" si="21"/>
        <v>9367362.1380607653</v>
      </c>
      <c r="J62" s="66">
        <f t="shared" si="22"/>
        <v>760788.09786751063</v>
      </c>
      <c r="K62" s="67">
        <f t="shared" si="23"/>
        <v>7.5116193988583949E-2</v>
      </c>
    </row>
    <row r="63" spans="1:17" x14ac:dyDescent="0.3">
      <c r="A63" s="12" t="str">
        <f t="shared" si="13"/>
        <v>Abr</v>
      </c>
      <c r="B63" s="65">
        <f t="shared" si="14"/>
        <v>4173135</v>
      </c>
      <c r="C63" s="65">
        <f t="shared" si="15"/>
        <v>235865.84449999998</v>
      </c>
      <c r="D63" s="65">
        <f t="shared" si="16"/>
        <v>50698.558900229102</v>
      </c>
      <c r="E63" s="66">
        <f t="shared" si="17"/>
        <v>9868549.7399121653</v>
      </c>
      <c r="F63" s="66">
        <f t="shared" si="18"/>
        <v>428949.71250173519</v>
      </c>
      <c r="G63" s="66">
        <f t="shared" si="19"/>
        <v>512388.69552241394</v>
      </c>
      <c r="H63" s="66">
        <f t="shared" si="20"/>
        <v>0</v>
      </c>
      <c r="I63" s="66">
        <f t="shared" si="21"/>
        <v>8927211.3318880163</v>
      </c>
      <c r="J63" s="66">
        <f t="shared" si="22"/>
        <v>941338.40802414913</v>
      </c>
      <c r="K63" s="67">
        <f t="shared" si="23"/>
        <v>9.5387714794304468E-2</v>
      </c>
    </row>
    <row r="64" spans="1:17" x14ac:dyDescent="0.3">
      <c r="A64" s="12" t="str">
        <f t="shared" si="13"/>
        <v>May</v>
      </c>
      <c r="B64" s="65">
        <f t="shared" si="14"/>
        <v>4482301</v>
      </c>
      <c r="C64" s="65">
        <f t="shared" si="15"/>
        <v>223970.81849999999</v>
      </c>
      <c r="D64" s="65">
        <f t="shared" si="16"/>
        <v>48394.078950218689</v>
      </c>
      <c r="E64" s="66">
        <f t="shared" si="17"/>
        <v>10299570.009647407</v>
      </c>
      <c r="F64" s="66">
        <f t="shared" si="18"/>
        <v>407197.71155959839</v>
      </c>
      <c r="G64" s="66">
        <f t="shared" si="19"/>
        <v>509994.75585148612</v>
      </c>
      <c r="H64" s="66">
        <f t="shared" si="20"/>
        <v>0</v>
      </c>
      <c r="I64" s="66">
        <f t="shared" si="21"/>
        <v>9382377.5422363207</v>
      </c>
      <c r="J64" s="66">
        <f t="shared" si="22"/>
        <v>917192.46741108457</v>
      </c>
      <c r="K64" s="67">
        <f t="shared" si="23"/>
        <v>8.905152997183069E-2</v>
      </c>
    </row>
    <row r="65" spans="1:12" x14ac:dyDescent="0.3">
      <c r="A65" s="12" t="str">
        <f t="shared" si="13"/>
        <v>Jun</v>
      </c>
      <c r="B65" s="65">
        <f t="shared" si="14"/>
        <v>4223533</v>
      </c>
      <c r="C65" s="65">
        <f t="shared" si="15"/>
        <v>209571.5765</v>
      </c>
      <c r="D65" s="65">
        <f t="shared" si="16"/>
        <v>48394.078950218689</v>
      </c>
      <c r="E65" s="66">
        <f t="shared" si="17"/>
        <v>9938712.9781597592</v>
      </c>
      <c r="F65" s="66">
        <f t="shared" si="18"/>
        <v>380152.04206600063</v>
      </c>
      <c r="G65" s="66">
        <f t="shared" si="19"/>
        <v>508834.75374297216</v>
      </c>
      <c r="H65" s="66">
        <f t="shared" si="20"/>
        <v>0</v>
      </c>
      <c r="I65" s="66">
        <f t="shared" si="21"/>
        <v>9049726.1823507864</v>
      </c>
      <c r="J65" s="66">
        <f t="shared" si="22"/>
        <v>888986.79580897279</v>
      </c>
      <c r="K65" s="67">
        <f t="shared" si="23"/>
        <v>8.9446872825738502E-2</v>
      </c>
    </row>
    <row r="66" spans="1:12" x14ac:dyDescent="0.3">
      <c r="A66" s="12" t="str">
        <f t="shared" si="13"/>
        <v>Jul</v>
      </c>
      <c r="B66" s="65">
        <f t="shared" si="14"/>
        <v>3672900</v>
      </c>
      <c r="C66" s="65">
        <f t="shared" si="15"/>
        <v>211606.25199999998</v>
      </c>
      <c r="D66" s="65">
        <f t="shared" si="16"/>
        <v>53003.038850239514</v>
      </c>
      <c r="E66" s="66">
        <f t="shared" si="17"/>
        <v>8699766.0691021755</v>
      </c>
      <c r="F66" s="66">
        <f t="shared" si="18"/>
        <v>382946.77435146179</v>
      </c>
      <c r="G66" s="66">
        <f t="shared" si="19"/>
        <v>512113.46925787249</v>
      </c>
      <c r="H66" s="66">
        <f t="shared" si="20"/>
        <v>0</v>
      </c>
      <c r="I66" s="66">
        <f t="shared" si="21"/>
        <v>7804705.8254928412</v>
      </c>
      <c r="J66" s="66">
        <f t="shared" si="22"/>
        <v>895060.24360933434</v>
      </c>
      <c r="K66" s="67">
        <f t="shared" si="23"/>
        <v>0.10288325415877596</v>
      </c>
    </row>
    <row r="67" spans="1:12" x14ac:dyDescent="0.3">
      <c r="A67" s="12" t="str">
        <f t="shared" si="13"/>
        <v>Ago</v>
      </c>
      <c r="B67" s="65">
        <f t="shared" si="14"/>
        <v>4176914</v>
      </c>
      <c r="C67" s="65">
        <f t="shared" si="15"/>
        <v>197989.57749999998</v>
      </c>
      <c r="D67" s="65">
        <f t="shared" si="16"/>
        <v>48394.078950218689</v>
      </c>
      <c r="E67" s="66">
        <f t="shared" si="17"/>
        <v>9701128.8051428944</v>
      </c>
      <c r="F67" s="66">
        <f t="shared" si="18"/>
        <v>358596.44931799214</v>
      </c>
      <c r="G67" s="66">
        <f t="shared" si="19"/>
        <v>508060.55119867553</v>
      </c>
      <c r="H67" s="66">
        <f t="shared" si="20"/>
        <v>0</v>
      </c>
      <c r="I67" s="66">
        <f t="shared" si="21"/>
        <v>8834471.8046262264</v>
      </c>
      <c r="J67" s="66">
        <f t="shared" si="22"/>
        <v>866657.00051666773</v>
      </c>
      <c r="K67" s="67">
        <f t="shared" si="23"/>
        <v>8.9335686384993021E-2</v>
      </c>
    </row>
    <row r="68" spans="1:12" x14ac:dyDescent="0.3">
      <c r="A68" s="12" t="str">
        <f t="shared" si="13"/>
        <v>Sep</v>
      </c>
      <c r="B68" s="65">
        <f t="shared" si="14"/>
        <v>3596855</v>
      </c>
      <c r="C68" s="65">
        <f t="shared" si="15"/>
        <v>187033.63250000001</v>
      </c>
      <c r="D68" s="65">
        <f t="shared" si="16"/>
        <v>48394.078950218689</v>
      </c>
      <c r="E68" s="66">
        <f t="shared" si="17"/>
        <v>8444072.9261859264</v>
      </c>
      <c r="F68" s="66">
        <f t="shared" si="18"/>
        <v>338378.11916906532</v>
      </c>
      <c r="G68" s="66">
        <f t="shared" si="19"/>
        <v>507498.05526039831</v>
      </c>
      <c r="H68" s="66">
        <f t="shared" si="20"/>
        <v>0</v>
      </c>
      <c r="I68" s="66">
        <f t="shared" si="21"/>
        <v>7598196.7517564623</v>
      </c>
      <c r="J68" s="66">
        <f t="shared" si="22"/>
        <v>845876.17442946369</v>
      </c>
      <c r="K68" s="67">
        <f t="shared" si="23"/>
        <v>0.10017395418345049</v>
      </c>
    </row>
    <row r="69" spans="1:12" x14ac:dyDescent="0.3">
      <c r="A69" s="12" t="str">
        <f t="shared" si="13"/>
        <v>Oct</v>
      </c>
      <c r="B69" s="65">
        <f t="shared" si="14"/>
        <v>3339324</v>
      </c>
      <c r="C69" s="65">
        <f t="shared" si="15"/>
        <v>206128.27949999998</v>
      </c>
      <c r="D69" s="65">
        <f t="shared" si="16"/>
        <v>53003.038850239514</v>
      </c>
      <c r="E69" s="66">
        <f t="shared" si="17"/>
        <v>7515911.822117704</v>
      </c>
      <c r="F69" s="66">
        <f t="shared" si="18"/>
        <v>372426.15315302159</v>
      </c>
      <c r="G69" s="66">
        <f t="shared" si="19"/>
        <v>511280.07775691553</v>
      </c>
      <c r="H69" s="66">
        <f t="shared" si="20"/>
        <v>0</v>
      </c>
      <c r="I69" s="66">
        <f t="shared" si="21"/>
        <v>6632205.5912077669</v>
      </c>
      <c r="J69" s="66">
        <f t="shared" si="22"/>
        <v>883706.23090993706</v>
      </c>
      <c r="K69" s="67">
        <f t="shared" si="23"/>
        <v>0.11757804665953912</v>
      </c>
    </row>
    <row r="70" spans="1:12" x14ac:dyDescent="0.3">
      <c r="A70" s="12" t="str">
        <f t="shared" si="13"/>
        <v>Nov</v>
      </c>
      <c r="B70" s="65">
        <f t="shared" si="14"/>
        <v>3432308</v>
      </c>
      <c r="C70" s="65">
        <f t="shared" si="15"/>
        <v>213797.44099999999</v>
      </c>
      <c r="D70" s="65">
        <f t="shared" si="16"/>
        <v>43785.119050197856</v>
      </c>
      <c r="E70" s="66">
        <f t="shared" si="17"/>
        <v>8462839.4553102851</v>
      </c>
      <c r="F70" s="66">
        <f t="shared" si="18"/>
        <v>386841.73491114844</v>
      </c>
      <c r="G70" s="66">
        <f t="shared" si="19"/>
        <v>272756.6805939558</v>
      </c>
      <c r="H70" s="66">
        <f t="shared" si="20"/>
        <v>0</v>
      </c>
      <c r="I70" s="66">
        <f t="shared" si="21"/>
        <v>7803241.0398051813</v>
      </c>
      <c r="J70" s="66">
        <f t="shared" si="22"/>
        <v>659598.41550510423</v>
      </c>
      <c r="K70" s="67">
        <f t="shared" si="23"/>
        <v>7.7940556356793186E-2</v>
      </c>
    </row>
    <row r="71" spans="1:12" x14ac:dyDescent="0.3">
      <c r="A71" s="12" t="str">
        <f t="shared" si="13"/>
        <v>Dic</v>
      </c>
      <c r="B71" s="65">
        <f t="shared" si="14"/>
        <v>3272026</v>
      </c>
      <c r="C71" s="65">
        <f t="shared" si="15"/>
        <v>204876.1715</v>
      </c>
      <c r="D71" s="65">
        <f t="shared" si="16"/>
        <v>50698.558900229102</v>
      </c>
      <c r="E71" s="66">
        <f t="shared" si="17"/>
        <v>7999627.5826511439</v>
      </c>
      <c r="F71" s="66">
        <f t="shared" si="18"/>
        <v>370793.17747029645</v>
      </c>
      <c r="G71" s="66">
        <f t="shared" si="19"/>
        <v>279525.75855831738</v>
      </c>
      <c r="H71" s="66">
        <f t="shared" si="20"/>
        <v>0</v>
      </c>
      <c r="I71" s="66">
        <f t="shared" si="21"/>
        <v>7349308.6466225302</v>
      </c>
      <c r="J71" s="66">
        <f t="shared" si="22"/>
        <v>650318.93602861383</v>
      </c>
      <c r="K71" s="67">
        <f t="shared" si="23"/>
        <v>8.1293651399343345E-2</v>
      </c>
    </row>
    <row r="72" spans="1:12" x14ac:dyDescent="0.3">
      <c r="A72" s="16" t="s">
        <v>193</v>
      </c>
      <c r="B72" s="28">
        <f t="shared" ref="B72:J72" si="24">SUM(B60:B71)</f>
        <v>45719537</v>
      </c>
      <c r="C72" s="28">
        <f t="shared" si="24"/>
        <v>2598280.6135000004</v>
      </c>
      <c r="D72" s="28">
        <f t="shared" si="24"/>
        <v>585337.90730264504</v>
      </c>
      <c r="E72" s="19">
        <f t="shared" si="24"/>
        <v>108810402.59</v>
      </c>
      <c r="F72" s="19">
        <f t="shared" si="24"/>
        <v>4713237.4542866573</v>
      </c>
      <c r="G72" s="19">
        <f t="shared" si="24"/>
        <v>4954128.6243784623</v>
      </c>
      <c r="H72" s="19">
        <f t="shared" si="24"/>
        <v>0</v>
      </c>
      <c r="I72" s="19">
        <f t="shared" si="24"/>
        <v>99143036.511334881</v>
      </c>
      <c r="J72" s="19">
        <f t="shared" si="24"/>
        <v>9667366.0786651224</v>
      </c>
      <c r="K72" s="68">
        <f t="shared" si="23"/>
        <v>8.884597289003672E-2</v>
      </c>
    </row>
    <row r="73" spans="1:12" x14ac:dyDescent="0.3">
      <c r="A73" s="63" t="s">
        <v>258</v>
      </c>
    </row>
    <row r="75" spans="1:12" ht="18" customHeight="1" x14ac:dyDescent="0.3">
      <c r="A75" s="3" t="s">
        <v>195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x14ac:dyDescent="0.3">
      <c r="A76" s="69" t="s">
        <v>196</v>
      </c>
      <c r="B76" s="70" t="s">
        <v>197</v>
      </c>
      <c r="C76" s="71">
        <f>F72</f>
        <v>4713237.4542866573</v>
      </c>
      <c r="D76" s="70" t="s">
        <v>198</v>
      </c>
      <c r="E76" s="71">
        <f>F72+SUMPRODUCT(E45:E56*(1/O45:O56-1))</f>
        <v>4713237.4542866573</v>
      </c>
      <c r="F76" s="70" t="s">
        <v>199</v>
      </c>
      <c r="G76" s="71">
        <f>G72</f>
        <v>4954128.6243784623</v>
      </c>
      <c r="H76" s="70" t="s">
        <v>200</v>
      </c>
      <c r="I76" s="71">
        <f>H72</f>
        <v>0</v>
      </c>
      <c r="J76" s="70" t="s">
        <v>185</v>
      </c>
      <c r="K76" s="72">
        <f>C72</f>
        <v>2598280.6135000004</v>
      </c>
    </row>
    <row r="77" spans="1:12" ht="25.5" customHeight="1" x14ac:dyDescent="0.3">
      <c r="A77" s="52" t="s">
        <v>201</v>
      </c>
      <c r="B77" s="52" t="s">
        <v>202</v>
      </c>
      <c r="C77" s="52" t="s">
        <v>187</v>
      </c>
      <c r="D77" s="52" t="s">
        <v>203</v>
      </c>
      <c r="E77" s="52" t="s">
        <v>204</v>
      </c>
      <c r="F77" s="52" t="s">
        <v>205</v>
      </c>
      <c r="G77" s="52" t="s">
        <v>206</v>
      </c>
      <c r="H77" s="52" t="s">
        <v>207</v>
      </c>
      <c r="I77" s="52" t="s">
        <v>208</v>
      </c>
      <c r="J77" s="52" t="s">
        <v>209</v>
      </c>
      <c r="K77" s="52" t="s">
        <v>210</v>
      </c>
      <c r="L77" s="52" t="s">
        <v>211</v>
      </c>
    </row>
    <row r="78" spans="1:12" x14ac:dyDescent="0.3">
      <c r="A78" s="12">
        <v>0</v>
      </c>
      <c r="B78" s="12" t="s">
        <v>18</v>
      </c>
      <c r="H78" s="66">
        <f>-B26-B25-D25</f>
        <v>-32640389.4375</v>
      </c>
      <c r="K78" s="66">
        <v>0</v>
      </c>
      <c r="L78" s="66">
        <f>-B26-B25-D25</f>
        <v>-32640389.4375</v>
      </c>
    </row>
    <row r="79" spans="1:12" x14ac:dyDescent="0.3">
      <c r="A79" s="12">
        <v>1</v>
      </c>
      <c r="B79" s="59" t="str">
        <f>IF(A79&lt;=(Supuestos!$B$22-Supuestos!$B$24),"Autoabasto","CFE pleno")</f>
        <v>Autoabasto</v>
      </c>
      <c r="C79" s="61">
        <f>IF(A79&lt;=(Supuestos!$B$22-Supuestos!$B$24),$B$12,$B$10)*(1+Supuestos!$B$8)^A79</f>
        <v>108264975.97740002</v>
      </c>
      <c r="D79" s="61">
        <f>IF(A79&lt;=(Supuestos!$B$22-Supuestos!$B$24),$C$76,$E$76)*(1+Supuestos!$B$8)^A79*(1-Supuestos!$B$11)^A79</f>
        <v>4971051.5430361377</v>
      </c>
      <c r="E79" s="61">
        <f>$G$76*(1+Supuestos!$B$8)^A79*(1-Supuestos!$B$12)^A79*Supuestos!$B$10</f>
        <v>3889300.6031761169</v>
      </c>
      <c r="F79" s="61">
        <f>$I$76*(1+Supuestos!$B$8)^A79</f>
        <v>0</v>
      </c>
      <c r="G79" s="61">
        <f t="shared" ref="G79:G98" si="25">C79-D79-E79-F79</f>
        <v>99404623.83118777</v>
      </c>
      <c r="H79" s="61">
        <f>D79+E79+F79-(Supuestos!$B$19*$B$6+Supuestos!$B$20*$F$6)*(1+Supuestos!$B$8)^(A79-1)</f>
        <v>7934160.2962122541</v>
      </c>
      <c r="I79" s="61">
        <f>IF(A79&lt;=Supuestos!$J$32,$K$76*(1-Supuestos!$B$11)^A79*Supuestos!$I$32*(1+Supuestos!$B$9)^(A79-1),0)</f>
        <v>4166710.6204540608</v>
      </c>
      <c r="J79" s="61">
        <f>E79*Supuestos!$K$32</f>
        <v>1944650.3015880585</v>
      </c>
      <c r="K79" s="61">
        <f>D79-I79+E79-J79+F79-IF(A79&lt;=Supuestos!$J$32,0,Supuestos!$B$19*$B$6*(1+Supuestos!$B$8)^(A79-1))</f>
        <v>2748991.2241701353</v>
      </c>
      <c r="L79" s="61">
        <f>I79+J79-IF(A79&lt;=Supuestos!$J$32,(Supuestos!$B$19*$B$6+Supuestos!$B$20*$F$6),Supuestos!$B$20*$F$6)*(1+Supuestos!$B$8)^(A79-1)</f>
        <v>5185169.0720421197</v>
      </c>
    </row>
    <row r="80" spans="1:12" x14ac:dyDescent="0.3">
      <c r="A80" s="12">
        <v>2</v>
      </c>
      <c r="B80" s="59" t="str">
        <f>IF(A80&lt;=(Supuestos!$B$22-Supuestos!$B$24),"Autoabasto","CFE pleno")</f>
        <v>Autoabasto</v>
      </c>
      <c r="C80" s="61">
        <f>IF(A80&lt;=(Supuestos!$B$22-Supuestos!$B$24),$B$12,$B$10)*(1+Supuestos!$B$8)^A80</f>
        <v>114760874.53604402</v>
      </c>
      <c r="D80" s="61">
        <f>IF(A80&lt;=(Supuestos!$B$22-Supuestos!$B$24),$C$76,$E$76)*(1+Supuestos!$B$8)^A80*(1-Supuestos!$B$11)^A80</f>
        <v>5242968.0624402156</v>
      </c>
      <c r="E80" s="61">
        <f>$G$76*(1+Supuestos!$B$8)^A80*(1-Supuestos!$B$12)^A80*Supuestos!$B$10</f>
        <v>4071125.4063746003</v>
      </c>
      <c r="F80" s="61">
        <f>$I$76*(1+Supuestos!$B$8)^A80</f>
        <v>0</v>
      </c>
      <c r="G80" s="61">
        <f t="shared" si="25"/>
        <v>105446781.0672292</v>
      </c>
      <c r="H80" s="61">
        <f>D80+E80+F80-(Supuestos!$B$19*$B$6+Supuestos!$B$20*$F$6)*(1+Supuestos!$B$8)^(A80-1)</f>
        <v>8332330.1078148168</v>
      </c>
      <c r="I80" s="61">
        <f>IF(A80&lt;=Supuestos!$J$32,$K$76*(1-Supuestos!$B$11)^A80*Supuestos!$I$32*(1+Supuestos!$B$9)^(A80-1),0)</f>
        <v>4353170.9207193805</v>
      </c>
      <c r="J80" s="61">
        <f>E80*Supuestos!$K$32</f>
        <v>2035562.7031873001</v>
      </c>
      <c r="K80" s="61">
        <f>D80-I80+E80-J80+F80-IF(A80&lt;=Supuestos!$J$32,0,Supuestos!$B$19*$B$6*(1+Supuestos!$B$8)^(A80-1))</f>
        <v>2925359.844908135</v>
      </c>
      <c r="L80" s="61">
        <f>I80+J80-IF(A80&lt;=Supuestos!$J$32,(Supuestos!$B$19*$B$6+Supuestos!$B$20*$F$6),Supuestos!$B$20*$F$6)*(1+Supuestos!$B$8)^(A80-1)</f>
        <v>5406970.2629066799</v>
      </c>
    </row>
    <row r="81" spans="1:12" x14ac:dyDescent="0.3">
      <c r="A81" s="12">
        <v>3</v>
      </c>
      <c r="B81" s="59" t="str">
        <f>IF(A81&lt;=(Supuestos!$B$22-Supuestos!$B$24),"Autoabasto","CFE pleno")</f>
        <v>Autoabasto</v>
      </c>
      <c r="C81" s="61">
        <f>IF(A81&lt;=(Supuestos!$B$22-Supuestos!$B$24),$B$12,$B$10)*(1+Supuestos!$B$8)^A81</f>
        <v>121646527.00820668</v>
      </c>
      <c r="D81" s="61">
        <f>IF(A81&lt;=(Supuestos!$B$22-Supuestos!$B$24),$C$76,$E$76)*(1+Supuestos!$B$8)^A81*(1-Supuestos!$B$11)^A81</f>
        <v>5529758.4154556952</v>
      </c>
      <c r="E81" s="61">
        <f>$G$76*(1+Supuestos!$B$8)^A81*(1-Supuestos!$B$12)^A81*Supuestos!$B$10</f>
        <v>4261450.5191226145</v>
      </c>
      <c r="F81" s="61">
        <f>$I$76*(1+Supuestos!$B$8)^A81</f>
        <v>0</v>
      </c>
      <c r="G81" s="61">
        <f t="shared" si="25"/>
        <v>111855318.07362837</v>
      </c>
      <c r="H81" s="61">
        <f>D81+E81+F81-(Supuestos!$B$19*$B$6+Supuestos!$B$20*$F$6)*(1+Supuestos!$B$8)^(A81-1)</f>
        <v>8750539.7719183099</v>
      </c>
      <c r="I81" s="61">
        <f>IF(A81&lt;=Supuestos!$J$32,$K$76*(1-Supuestos!$B$11)^A81*Supuestos!$I$32*(1+Supuestos!$B$9)^(A81-1),0)</f>
        <v>4547975.3194215717</v>
      </c>
      <c r="J81" s="61">
        <f>E81*Supuestos!$K$32</f>
        <v>2130725.2595613073</v>
      </c>
      <c r="K81" s="61">
        <f>D81-I81+E81-J81+F81-IF(A81&lt;=Supuestos!$J$32,0,Supuestos!$B$19*$B$6*(1+Supuestos!$B$8)^(A81-1))</f>
        <v>3112508.3555954308</v>
      </c>
      <c r="L81" s="61">
        <f>I81+J81-IF(A81&lt;=Supuestos!$J$32,(Supuestos!$B$19*$B$6+Supuestos!$B$20*$F$6),Supuestos!$B$20*$F$6)*(1+Supuestos!$B$8)^(A81-1)</f>
        <v>5638031.4163228786</v>
      </c>
    </row>
    <row r="82" spans="1:12" x14ac:dyDescent="0.3">
      <c r="A82" s="12">
        <v>4</v>
      </c>
      <c r="B82" s="59" t="str">
        <f>IF(A82&lt;=(Supuestos!$B$22-Supuestos!$B$24),"Autoabasto","CFE pleno")</f>
        <v>Autoabasto</v>
      </c>
      <c r="C82" s="61">
        <f>IF(A82&lt;=(Supuestos!$B$22-Supuestos!$B$24),$B$12,$B$10)*(1+Supuestos!$B$8)^A82</f>
        <v>128945318.62869908</v>
      </c>
      <c r="D82" s="61">
        <f>IF(A82&lt;=(Supuestos!$B$22-Supuestos!$B$24),$C$76,$E$76)*(1+Supuestos!$B$8)^A82*(1-Supuestos!$B$11)^A82</f>
        <v>5832236.2007811228</v>
      </c>
      <c r="E82" s="61">
        <f>$G$76*(1+Supuestos!$B$8)^A82*(1-Supuestos!$B$12)^A82*Supuestos!$B$10</f>
        <v>4460673.3308915962</v>
      </c>
      <c r="F82" s="61">
        <f>$I$76*(1+Supuestos!$B$8)^A82</f>
        <v>0</v>
      </c>
      <c r="G82" s="61">
        <f t="shared" si="25"/>
        <v>118652409.09702636</v>
      </c>
      <c r="H82" s="61">
        <f>D82+E82+F82-(Supuestos!$B$19*$B$6+Supuestos!$B$20*$F$6)*(1+Supuestos!$B$8)^(A82-1)</f>
        <v>9189800.2192531191</v>
      </c>
      <c r="I82" s="61">
        <f>IF(A82&lt;=Supuestos!$J$32,$K$76*(1-Supuestos!$B$11)^A82*Supuestos!$I$32*(1+Supuestos!$B$9)^(A82-1),0)</f>
        <v>4751497.2149656881</v>
      </c>
      <c r="J82" s="61">
        <f>E82*Supuestos!$K$32</f>
        <v>2230336.6654457981</v>
      </c>
      <c r="K82" s="61">
        <f>D82-I82+E82-J82+F82-IF(A82&lt;=Supuestos!$J$32,0,Supuestos!$B$19*$B$6*(1+Supuestos!$B$8)^(A82-1))</f>
        <v>3311075.6512612328</v>
      </c>
      <c r="L82" s="61">
        <f>I82+J82-IF(A82&lt;=Supuestos!$J$32,(Supuestos!$B$19*$B$6+Supuestos!$B$20*$F$6),Supuestos!$B$20*$F$6)*(1+Supuestos!$B$8)^(A82-1)</f>
        <v>5878724.5679918863</v>
      </c>
    </row>
    <row r="83" spans="1:12" x14ac:dyDescent="0.3">
      <c r="A83" s="12">
        <v>5</v>
      </c>
      <c r="B83" s="59" t="str">
        <f>IF(A83&lt;=(Supuestos!$B$22-Supuestos!$B$24),"Autoabasto","CFE pleno")</f>
        <v>Autoabasto</v>
      </c>
      <c r="C83" s="61">
        <f>IF(A83&lt;=(Supuestos!$B$22-Supuestos!$B$24),$B$12,$B$10)*(1+Supuestos!$B$8)^A83</f>
        <v>136682037.74642104</v>
      </c>
      <c r="D83" s="61">
        <f>IF(A83&lt;=(Supuestos!$B$22-Supuestos!$B$24),$C$76,$E$76)*(1+Supuestos!$B$8)^A83*(1-Supuestos!$B$11)^A83</f>
        <v>6151259.5209638504</v>
      </c>
      <c r="E83" s="61">
        <f>$G$76*(1+Supuestos!$B$8)^A83*(1-Supuestos!$B$12)^A83*Supuestos!$B$10</f>
        <v>4669209.8091107793</v>
      </c>
      <c r="F83" s="61">
        <f>$I$76*(1+Supuestos!$B$8)^A83</f>
        <v>0</v>
      </c>
      <c r="G83" s="61">
        <f t="shared" si="25"/>
        <v>125861568.41634642</v>
      </c>
      <c r="H83" s="61">
        <f>D83+E83+F83-(Supuestos!$B$19*$B$6+Supuestos!$B$20*$F$6)*(1+Supuestos!$B$8)^(A83-1)</f>
        <v>9651173.4589098543</v>
      </c>
      <c r="I83" s="61">
        <f>IF(A83&lt;=Supuestos!$J$32,$K$76*(1-Supuestos!$B$11)^A83*Supuestos!$I$32*(1+Supuestos!$B$9)^(A83-1),0)</f>
        <v>4964126.7153354026</v>
      </c>
      <c r="J83" s="61">
        <f>E83*Supuestos!$K$32</f>
        <v>2334604.9045553897</v>
      </c>
      <c r="K83" s="61">
        <f>D83-I83+E83-J83+F83-IF(A83&lt;=Supuestos!$J$32,0,Supuestos!$B$19*$B$6*(1+Supuestos!$B$8)^(A83-1))</f>
        <v>3521737.7101838375</v>
      </c>
      <c r="L83" s="61">
        <f>I83+J83-IF(A83&lt;=Supuestos!$J$32,(Supuestos!$B$19*$B$6+Supuestos!$B$20*$F$6),Supuestos!$B$20*$F$6)*(1+Supuestos!$B$8)^(A83-1)</f>
        <v>6129435.7487260159</v>
      </c>
    </row>
    <row r="84" spans="1:12" x14ac:dyDescent="0.3">
      <c r="A84" s="12">
        <v>6</v>
      </c>
      <c r="B84" s="59" t="str">
        <f>IF(A84&lt;=(Supuestos!$B$22-Supuestos!$B$24),"Autoabasto","CFE pleno")</f>
        <v>Autoabasto</v>
      </c>
      <c r="C84" s="61">
        <f>IF(A84&lt;=(Supuestos!$B$22-Supuestos!$B$24),$B$12,$B$10)*(1+Supuestos!$B$8)^A84</f>
        <v>144882960.0112063</v>
      </c>
      <c r="D84" s="61">
        <f>IF(A84&lt;=(Supuestos!$B$22-Supuestos!$B$24),$C$76,$E$76)*(1+Supuestos!$B$8)^A84*(1-Supuestos!$B$11)^A84</f>
        <v>6487733.4167605732</v>
      </c>
      <c r="E84" s="61">
        <f>$G$76*(1+Supuestos!$B$8)^A84*(1-Supuestos!$B$12)^A84*Supuestos!$B$10</f>
        <v>4887495.3676867085</v>
      </c>
      <c r="F84" s="61">
        <f>$I$76*(1+Supuestos!$B$8)^A84</f>
        <v>0</v>
      </c>
      <c r="G84" s="61">
        <f t="shared" si="25"/>
        <v>133507731.22675903</v>
      </c>
      <c r="H84" s="61">
        <f>D84+E84+F84-(Supuestos!$B$19*$B$6+Supuestos!$B$20*$F$6)*(1+Supuestos!$B$8)^(A84-1)</f>
        <v>10135775.16101262</v>
      </c>
      <c r="I84" s="61">
        <f>IF(A84&lt;=Supuestos!$J$32,$K$76*(1-Supuestos!$B$11)^A84*Supuestos!$I$32*(1+Supuestos!$B$9)^(A84-1),0)</f>
        <v>5186271.3858466623</v>
      </c>
      <c r="J84" s="61">
        <f>E84*Supuestos!$K$32</f>
        <v>2443747.6838433542</v>
      </c>
      <c r="K84" s="61">
        <f>D84-I84+E84-J84+F84-IF(A84&lt;=Supuestos!$J$32,0,Supuestos!$B$19*$B$6*(1+Supuestos!$B$8)^(A84-1))</f>
        <v>3745209.7147572651</v>
      </c>
      <c r="L84" s="61">
        <f>I84+J84-IF(A84&lt;=Supuestos!$J$32,(Supuestos!$B$19*$B$6+Supuestos!$B$20*$F$6),Supuestos!$B$20*$F$6)*(1+Supuestos!$B$8)^(A84-1)</f>
        <v>6390565.4462553542</v>
      </c>
    </row>
    <row r="85" spans="1:12" x14ac:dyDescent="0.3">
      <c r="A85" s="12">
        <v>7</v>
      </c>
      <c r="B85" s="59" t="str">
        <f>IF(A85&lt;=(Supuestos!$B$22-Supuestos!$B$24),"Autoabasto","CFE pleno")</f>
        <v>CFE pleno</v>
      </c>
      <c r="C85" s="61">
        <f>IF(A85&lt;=(Supuestos!$B$22-Supuestos!$B$24),$B$12,$B$10)*(1+Supuestos!$B$8)^A85</f>
        <v>163610613.82735595</v>
      </c>
      <c r="D85" s="61">
        <f>IF(A85&lt;=(Supuestos!$B$22-Supuestos!$B$24),$C$76,$E$76)*(1+Supuestos!$B$8)^A85*(1-Supuestos!$B$11)^A85</f>
        <v>6842612.4346573772</v>
      </c>
      <c r="E85" s="61">
        <f>$G$76*(1+Supuestos!$B$8)^A85*(1-Supuestos!$B$12)^A85*Supuestos!$B$10</f>
        <v>5115985.7761260625</v>
      </c>
      <c r="F85" s="61">
        <f>$I$76*(1+Supuestos!$B$8)^A85</f>
        <v>0</v>
      </c>
      <c r="G85" s="61">
        <f t="shared" si="25"/>
        <v>151652015.61657253</v>
      </c>
      <c r="H85" s="61">
        <f>D85+E85+F85-(Supuestos!$B$19*$B$6+Supuestos!$B$20*$F$6)*(1+Supuestos!$B$8)^(A85-1)</f>
        <v>10644777.369942699</v>
      </c>
      <c r="I85" s="61">
        <f>IF(A85&lt;=Supuestos!$J$32,$K$76*(1-Supuestos!$B$11)^A85*Supuestos!$I$32*(1+Supuestos!$B$9)^(A85-1),0)</f>
        <v>5418357.030363299</v>
      </c>
      <c r="J85" s="61">
        <f>E85*Supuestos!$K$32</f>
        <v>2557992.8880630312</v>
      </c>
      <c r="K85" s="61">
        <f>D85-I85+E85-J85+F85-IF(A85&lt;=Supuestos!$J$32,0,Supuestos!$B$19*$B$6*(1+Supuestos!$B$8)^(A85-1))</f>
        <v>3982248.2923571095</v>
      </c>
      <c r="L85" s="61">
        <f>I85+J85-IF(A85&lt;=Supuestos!$J$32,(Supuestos!$B$19*$B$6+Supuestos!$B$20*$F$6),Supuestos!$B$20*$F$6)*(1+Supuestos!$B$8)^(A85-1)</f>
        <v>6662529.0775855873</v>
      </c>
    </row>
    <row r="86" spans="1:12" x14ac:dyDescent="0.3">
      <c r="A86" s="12">
        <v>8</v>
      </c>
      <c r="B86" s="59" t="str">
        <f>IF(A86&lt;=(Supuestos!$B$22-Supuestos!$B$24),"Autoabasto","CFE pleno")</f>
        <v>CFE pleno</v>
      </c>
      <c r="C86" s="61">
        <f>IF(A86&lt;=(Supuestos!$B$22-Supuestos!$B$24),$B$12,$B$10)*(1+Supuestos!$B$8)^A86</f>
        <v>173427250.65699729</v>
      </c>
      <c r="D86" s="61">
        <f>IF(A86&lt;=(Supuestos!$B$22-Supuestos!$B$24),$C$76,$E$76)*(1+Supuestos!$B$8)^A86*(1-Supuestos!$B$11)^A86</f>
        <v>7216903.3348331349</v>
      </c>
      <c r="E86" s="61">
        <f>$G$76*(1+Supuestos!$B$8)^A86*(1-Supuestos!$B$12)^A86*Supuestos!$B$10</f>
        <v>5355158.1111599561</v>
      </c>
      <c r="F86" s="61">
        <f>$I$76*(1+Supuestos!$B$8)^A86</f>
        <v>0</v>
      </c>
      <c r="G86" s="61">
        <f t="shared" si="25"/>
        <v>160855189.2110042</v>
      </c>
      <c r="H86" s="61">
        <f>D86+E86+F86-(Supuestos!$B$19*$B$6+Supuestos!$B$20*$F$6)*(1+Supuestos!$B$8)^(A86-1)</f>
        <v>11179411.354701905</v>
      </c>
      <c r="I86" s="61">
        <f>IF(A86&lt;=Supuestos!$J$32,$K$76*(1-Supuestos!$B$11)^A86*Supuestos!$I$32*(1+Supuestos!$B$9)^(A86-1),0)</f>
        <v>5660828.5074720588</v>
      </c>
      <c r="J86" s="61">
        <f>E86*Supuestos!$K$32</f>
        <v>2677579.055579978</v>
      </c>
      <c r="K86" s="61">
        <f>D86-I86+E86-J86+F86-IF(A86&lt;=Supuestos!$J$32,0,Supuestos!$B$19*$B$6*(1+Supuestos!$B$8)^(A86-1))</f>
        <v>4233653.8829410542</v>
      </c>
      <c r="L86" s="61">
        <f>I86+J86-IF(A86&lt;=Supuestos!$J$32,(Supuestos!$B$19*$B$6+Supuestos!$B$20*$F$6),Supuestos!$B$20*$F$6)*(1+Supuestos!$B$8)^(A86-1)</f>
        <v>6945757.4717608495</v>
      </c>
    </row>
    <row r="87" spans="1:12" x14ac:dyDescent="0.3">
      <c r="A87" s="12">
        <v>9</v>
      </c>
      <c r="B87" s="59" t="str">
        <f>IF(A87&lt;=(Supuestos!$B$22-Supuestos!$B$24),"Autoabasto","CFE pleno")</f>
        <v>CFE pleno</v>
      </c>
      <c r="C87" s="61">
        <f>IF(A87&lt;=(Supuestos!$B$22-Supuestos!$B$24),$B$12,$B$10)*(1+Supuestos!$B$8)^A87</f>
        <v>183832885.69641712</v>
      </c>
      <c r="D87" s="61">
        <f>IF(A87&lt;=(Supuestos!$B$22-Supuestos!$B$24),$C$76,$E$76)*(1+Supuestos!$B$8)^A87*(1-Supuestos!$B$11)^A87</f>
        <v>7611667.9472485073</v>
      </c>
      <c r="E87" s="61">
        <f>$G$76*(1+Supuestos!$B$8)^A87*(1-Supuestos!$B$12)^A87*Supuestos!$B$10</f>
        <v>5605511.752856683</v>
      </c>
      <c r="F87" s="61">
        <f>$I$76*(1+Supuestos!$B$8)^A87</f>
        <v>0</v>
      </c>
      <c r="G87" s="61">
        <f t="shared" si="25"/>
        <v>170615705.99631193</v>
      </c>
      <c r="H87" s="61">
        <f>D87+E87+F87-(Supuestos!$B$19*$B$6+Supuestos!$B$20*$F$6)*(1+Supuestos!$B$8)^(A87-1)</f>
        <v>11740970.603336532</v>
      </c>
      <c r="I87" s="61">
        <f>IF(A87&lt;=Supuestos!$J$32,$K$76*(1-Supuestos!$B$11)^A87*Supuestos!$I$32*(1+Supuestos!$B$9)^(A87-1),0)</f>
        <v>5914150.5831814324</v>
      </c>
      <c r="J87" s="61">
        <f>E87*Supuestos!$K$32</f>
        <v>2802755.8764283415</v>
      </c>
      <c r="K87" s="61">
        <f>D87-I87+E87-J87+F87-IF(A87&lt;=Supuestos!$J$32,0,Supuestos!$B$19*$B$6*(1+Supuestos!$B$8)^(A87-1))</f>
        <v>4500273.2404954163</v>
      </c>
      <c r="L87" s="61">
        <f>I87+J87-IF(A87&lt;=Supuestos!$J$32,(Supuestos!$B$19*$B$6+Supuestos!$B$20*$F$6),Supuestos!$B$20*$F$6)*(1+Supuestos!$B$8)^(A87-1)</f>
        <v>7240697.3628411144</v>
      </c>
    </row>
    <row r="88" spans="1:12" x14ac:dyDescent="0.3">
      <c r="A88" s="12">
        <v>10</v>
      </c>
      <c r="B88" s="59" t="str">
        <f>IF(A88&lt;=(Supuestos!$B$22-Supuestos!$B$24),"Autoabasto","CFE pleno")</f>
        <v>CFE pleno</v>
      </c>
      <c r="C88" s="61">
        <f>IF(A88&lt;=(Supuestos!$B$22-Supuestos!$B$24),$B$12,$B$10)*(1+Supuestos!$B$8)^A88</f>
        <v>194862858.83820218</v>
      </c>
      <c r="D88" s="61">
        <f>IF(A88&lt;=(Supuestos!$B$22-Supuestos!$B$24),$C$76,$E$76)*(1+Supuestos!$B$8)^A88*(1-Supuestos!$B$11)^A88</f>
        <v>8028026.1839630017</v>
      </c>
      <c r="E88" s="61">
        <f>$G$76*(1+Supuestos!$B$8)^A88*(1-Supuestos!$B$12)^A88*Supuestos!$B$10</f>
        <v>5867569.4273027349</v>
      </c>
      <c r="F88" s="61">
        <f>$I$76*(1+Supuestos!$B$8)^A88</f>
        <v>0</v>
      </c>
      <c r="G88" s="61">
        <f t="shared" si="25"/>
        <v>180967263.22693643</v>
      </c>
      <c r="H88" s="61">
        <f>D88+E88+F88-(Supuestos!$B$19*$B$6+Supuestos!$B$20*$F$6)*(1+Supuestos!$B$8)^(A88-1)</f>
        <v>12330813.96869096</v>
      </c>
      <c r="I88" s="61">
        <f>IF(A88&lt;=Supuestos!$J$32,$K$76*(1-Supuestos!$B$11)^A88*Supuestos!$I$32*(1+Supuestos!$B$9)^(A88-1),0)</f>
        <v>6178808.8217788022</v>
      </c>
      <c r="J88" s="61">
        <f>E88*Supuestos!$K$32</f>
        <v>2933784.7136513675</v>
      </c>
      <c r="K88" s="61">
        <f>D88-I88+E88-J88+F88-IF(A88&lt;=Supuestos!$J$32,0,Supuestos!$B$19*$B$6*(1+Supuestos!$B$8)^(A88-1))</f>
        <v>4783002.075835567</v>
      </c>
      <c r="L88" s="61">
        <f>I88+J88-IF(A88&lt;=Supuestos!$J$32,(Supuestos!$B$19*$B$6+Supuestos!$B$20*$F$6),Supuestos!$B$20*$F$6)*(1+Supuestos!$B$8)^(A88-1)</f>
        <v>7547811.8928553928</v>
      </c>
    </row>
    <row r="89" spans="1:12" x14ac:dyDescent="0.3">
      <c r="A89" s="12">
        <v>11</v>
      </c>
      <c r="B89" s="59" t="str">
        <f>IF(A89&lt;=(Supuestos!$B$22-Supuestos!$B$24),"Autoabasto","CFE pleno")</f>
        <v>CFE pleno</v>
      </c>
      <c r="C89" s="61">
        <f>IF(A89&lt;=(Supuestos!$B$22-Supuestos!$B$24),$B$12,$B$10)*(1+Supuestos!$B$8)^A89</f>
        <v>206554630.36849433</v>
      </c>
      <c r="D89" s="61">
        <f>IF(A89&lt;=(Supuestos!$B$22-Supuestos!$B$24),$C$76,$E$76)*(1+Supuestos!$B$8)^A89*(1-Supuestos!$B$11)^A89</f>
        <v>8467159.2162257787</v>
      </c>
      <c r="E89" s="61">
        <f>$G$76*(1+Supuestos!$B$8)^A89*(1-Supuestos!$B$12)^A89*Supuestos!$B$10</f>
        <v>6141878.2980291387</v>
      </c>
      <c r="F89" s="61">
        <f>$I$76*(1+Supuestos!$B$8)^A89</f>
        <v>0</v>
      </c>
      <c r="G89" s="61">
        <f t="shared" si="25"/>
        <v>191945592.85423943</v>
      </c>
      <c r="H89" s="61">
        <f>D89+E89+F89-(Supuestos!$B$19*$B$6+Supuestos!$B$20*$F$6)*(1+Supuestos!$B$8)^(A89-1)</f>
        <v>12950368.973125651</v>
      </c>
      <c r="I89" s="61">
        <f>IF(A89&lt;=Supuestos!$J$32,$K$76*(1-Supuestos!$B$11)^A89*Supuestos!$I$32*(1+Supuestos!$B$9)^(A89-1),0)</f>
        <v>6455310.5165534029</v>
      </c>
      <c r="J89" s="61">
        <f>E89*Supuestos!$K$32</f>
        <v>3070939.1490145694</v>
      </c>
      <c r="K89" s="61">
        <f>D89-I89+E89-J89+F89-IF(A89&lt;=Supuestos!$J$32,0,Supuestos!$B$19*$B$6*(1+Supuestos!$B$8)^(A89-1))</f>
        <v>5082787.8486869447</v>
      </c>
      <c r="L89" s="61">
        <f>I89+J89-IF(A89&lt;=Supuestos!$J$32,(Supuestos!$B$19*$B$6+Supuestos!$B$20*$F$6),Supuestos!$B$20*$F$6)*(1+Supuestos!$B$8)^(A89-1)</f>
        <v>7867581.1244387068</v>
      </c>
    </row>
    <row r="90" spans="1:12" x14ac:dyDescent="0.3">
      <c r="A90" s="12">
        <v>12</v>
      </c>
      <c r="B90" s="59" t="str">
        <f>IF(A90&lt;=(Supuestos!$B$22-Supuestos!$B$24),"Autoabasto","CFE pleno")</f>
        <v>CFE pleno</v>
      </c>
      <c r="C90" s="61">
        <f>IF(A90&lt;=(Supuestos!$B$22-Supuestos!$B$24),$B$12,$B$10)*(1+Supuestos!$B$8)^A90</f>
        <v>218947908.190604</v>
      </c>
      <c r="D90" s="61">
        <f>IF(A90&lt;=(Supuestos!$B$22-Supuestos!$B$24),$C$76,$E$76)*(1+Supuestos!$B$8)^A90*(1-Supuestos!$B$11)^A90</f>
        <v>8930312.82535333</v>
      </c>
      <c r="E90" s="61">
        <f>$G$76*(1+Supuestos!$B$8)^A90*(1-Supuestos!$B$12)^A90*Supuestos!$B$10</f>
        <v>6429011.1084620012</v>
      </c>
      <c r="F90" s="61">
        <f>$I$76*(1+Supuestos!$B$8)^A90</f>
        <v>0</v>
      </c>
      <c r="G90" s="61">
        <f t="shared" si="25"/>
        <v>203588584.25678867</v>
      </c>
      <c r="H90" s="61">
        <f>D90+E90+F90-(Supuestos!$B$19*$B$6+Supuestos!$B$20*$F$6)*(1+Supuestos!$B$8)^(A90-1)</f>
        <v>13601135.280218309</v>
      </c>
      <c r="I90" s="61">
        <f>IF(A90&lt;=Supuestos!$J$32,$K$76*(1-Supuestos!$B$11)^A90*Supuestos!$I$32*(1+Supuestos!$B$9)^(A90-1),0)</f>
        <v>6744185.6621691687</v>
      </c>
      <c r="J90" s="61">
        <f>E90*Supuestos!$K$32</f>
        <v>3214505.5542310006</v>
      </c>
      <c r="K90" s="61">
        <f>D90-I90+E90-J90+F90-IF(A90&lt;=Supuestos!$J$32,0,Supuestos!$B$19*$B$6*(1+Supuestos!$B$8)^(A90-1))</f>
        <v>5400632.7174151614</v>
      </c>
      <c r="L90" s="61">
        <f>I90+J90-IF(A90&lt;=Supuestos!$J$32,(Supuestos!$B$19*$B$6+Supuestos!$B$20*$F$6),Supuestos!$B$20*$F$6)*(1+Supuestos!$B$8)^(A90-1)</f>
        <v>8200502.5628031474</v>
      </c>
    </row>
    <row r="91" spans="1:12" x14ac:dyDescent="0.3">
      <c r="A91" s="12">
        <v>13</v>
      </c>
      <c r="B91" s="59" t="str">
        <f>IF(A91&lt;=(Supuestos!$B$22-Supuestos!$B$24),"Autoabasto","CFE pleno")</f>
        <v>CFE pleno</v>
      </c>
      <c r="C91" s="61">
        <f>IF(A91&lt;=(Supuestos!$B$22-Supuestos!$B$24),$B$12,$B$10)*(1+Supuestos!$B$8)^A91</f>
        <v>232084782.68204027</v>
      </c>
      <c r="D91" s="61">
        <f>IF(A91&lt;=(Supuestos!$B$22-Supuestos!$B$24),$C$76,$E$76)*(1+Supuestos!$B$8)^A91*(1-Supuestos!$B$11)^A91</f>
        <v>9418800.9369001593</v>
      </c>
      <c r="E91" s="61">
        <f>$G$76*(1+Supuestos!$B$8)^A91*(1-Supuestos!$B$12)^A91*Supuestos!$B$10</f>
        <v>6729567.3777826019</v>
      </c>
      <c r="F91" s="61">
        <f>$I$76*(1+Supuestos!$B$8)^A91</f>
        <v>0</v>
      </c>
      <c r="G91" s="61">
        <f t="shared" si="25"/>
        <v>215936414.36735749</v>
      </c>
      <c r="H91" s="61">
        <f>D91+E91+F91-(Supuestos!$B$19*$B$6+Supuestos!$B$20*$F$6)*(1+Supuestos!$B$8)^(A91-1)</f>
        <v>14284688.341869919</v>
      </c>
      <c r="I91" s="61">
        <f>IF(A91&lt;=Supuestos!$J$32,$K$76*(1-Supuestos!$B$11)^A91*Supuestos!$I$32*(1+Supuestos!$B$9)^(A91-1),0)</f>
        <v>7045987.9705512384</v>
      </c>
      <c r="J91" s="61">
        <f>E91*Supuestos!$K$32</f>
        <v>3364783.6888913009</v>
      </c>
      <c r="K91" s="61">
        <f>D91-I91+E91-J91+F91-IF(A91&lt;=Supuestos!$J$32,0,Supuestos!$B$19*$B$6*(1+Supuestos!$B$8)^(A91-1))</f>
        <v>5737596.6552402209</v>
      </c>
      <c r="L91" s="61">
        <f>I91+J91-IF(A91&lt;=Supuestos!$J$32,(Supuestos!$B$19*$B$6+Supuestos!$B$20*$F$6),Supuestos!$B$20*$F$6)*(1+Supuestos!$B$8)^(A91-1)</f>
        <v>8547091.6866296977</v>
      </c>
    </row>
    <row r="92" spans="1:12" x14ac:dyDescent="0.3">
      <c r="A92" s="12">
        <v>14</v>
      </c>
      <c r="B92" s="59" t="str">
        <f>IF(A92&lt;=(Supuestos!$B$22-Supuestos!$B$24),"Autoabasto","CFE pleno")</f>
        <v>CFE pleno</v>
      </c>
      <c r="C92" s="61">
        <f>IF(A92&lt;=(Supuestos!$B$22-Supuestos!$B$24),$B$12,$B$10)*(1+Supuestos!$B$8)^A92</f>
        <v>246009869.64296266</v>
      </c>
      <c r="D92" s="61">
        <f>IF(A92&lt;=(Supuestos!$B$22-Supuestos!$B$24),$C$76,$E$76)*(1+Supuestos!$B$8)^A92*(1-Supuestos!$B$11)^A92</f>
        <v>9934009.3481485974</v>
      </c>
      <c r="E92" s="61">
        <f>$G$76*(1+Supuestos!$B$8)^A92*(1-Supuestos!$B$12)^A92*Supuestos!$B$10</f>
        <v>7044174.6526939366</v>
      </c>
      <c r="F92" s="61">
        <f>$I$76*(1+Supuestos!$B$8)^A92</f>
        <v>0</v>
      </c>
      <c r="G92" s="61">
        <f t="shared" si="25"/>
        <v>229031685.64212015</v>
      </c>
      <c r="H92" s="61">
        <f>D92+E92+F92-(Supuestos!$B$19*$B$6+Supuestos!$B$20*$F$6)*(1+Supuestos!$B$8)^(A92-1)</f>
        <v>15002683.229660921</v>
      </c>
      <c r="I92" s="61">
        <f>IF(A92&lt;=Supuestos!$J$32,$K$76*(1-Supuestos!$B$11)^A92*Supuestos!$I$32*(1+Supuestos!$B$9)^(A92-1),0)</f>
        <v>7361295.9322334081</v>
      </c>
      <c r="J92" s="61">
        <f>E92*Supuestos!$K$32</f>
        <v>3522087.3263469683</v>
      </c>
      <c r="K92" s="61">
        <f>D92-I92+E92-J92+F92-IF(A92&lt;=Supuestos!$J$32,0,Supuestos!$B$19*$B$6*(1+Supuestos!$B$8)^(A92-1))</f>
        <v>6094800.7422621576</v>
      </c>
      <c r="L92" s="61">
        <f>I92+J92-IF(A92&lt;=Supuestos!$J$32,(Supuestos!$B$19*$B$6+Supuestos!$B$20*$F$6),Supuestos!$B$20*$F$6)*(1+Supuestos!$B$8)^(A92-1)</f>
        <v>8907882.4873987623</v>
      </c>
    </row>
    <row r="93" spans="1:12" x14ac:dyDescent="0.3">
      <c r="A93" s="12">
        <v>15</v>
      </c>
      <c r="B93" s="59" t="str">
        <f>IF(A93&lt;=(Supuestos!$B$22-Supuestos!$B$24),"Autoabasto","CFE pleno")</f>
        <v>CFE pleno</v>
      </c>
      <c r="C93" s="61">
        <f>IF(A93&lt;=(Supuestos!$B$22-Supuestos!$B$24),$B$12,$B$10)*(1+Supuestos!$B$8)^A93</f>
        <v>260770461.8215405</v>
      </c>
      <c r="D93" s="61">
        <f>IF(A93&lt;=(Supuestos!$B$22-Supuestos!$B$24),$C$76,$E$76)*(1+Supuestos!$B$8)^A93*(1-Supuestos!$B$11)^A93</f>
        <v>10477399.659492329</v>
      </c>
      <c r="E93" s="61">
        <f>$G$76*(1+Supuestos!$B$8)^A93*(1-Supuestos!$B$12)^A93*Supuestos!$B$10</f>
        <v>7373489.8177073803</v>
      </c>
      <c r="F93" s="61">
        <f>$I$76*(1+Supuestos!$B$8)^A93</f>
        <v>0</v>
      </c>
      <c r="G93" s="61">
        <f t="shared" si="25"/>
        <v>242919572.34434077</v>
      </c>
      <c r="H93" s="61">
        <f>D93+E93+F93-(Supuestos!$B$19*$B$6+Supuestos!$B$20*$F$6)*(1+Supuestos!$B$8)^(A93-1)</f>
        <v>15756858.6597472</v>
      </c>
      <c r="I93" s="61">
        <f>IF(A93&lt;=Supuestos!$J$32,$K$76*(1-Supuestos!$B$11)^A93*Supuestos!$I$32*(1+Supuestos!$B$9)^(A93-1),0)</f>
        <v>7690713.9252008516</v>
      </c>
      <c r="J93" s="61">
        <f>E93*Supuestos!$K$32</f>
        <v>3686744.9088536901</v>
      </c>
      <c r="K93" s="61">
        <f>D93-I93+E93-J93+F93-IF(A93&lt;=Supuestos!$J$32,0,Supuestos!$B$19*$B$6*(1+Supuestos!$B$8)^(A93-1))</f>
        <v>6473430.6431451673</v>
      </c>
      <c r="L93" s="61">
        <f>I93+J93-IF(A93&lt;=Supuestos!$J$32,(Supuestos!$B$19*$B$6+Supuestos!$B$20*$F$6),Supuestos!$B$20*$F$6)*(1+Supuestos!$B$8)^(A93-1)</f>
        <v>9283428.01660203</v>
      </c>
    </row>
    <row r="94" spans="1:12" x14ac:dyDescent="0.3">
      <c r="A94" s="12">
        <v>16</v>
      </c>
      <c r="B94" s="59" t="str">
        <f>IF(A94&lt;=(Supuestos!$B$22-Supuestos!$B$24),"Autoabasto","CFE pleno")</f>
        <v>CFE pleno</v>
      </c>
      <c r="C94" s="61">
        <f>IF(A94&lt;=(Supuestos!$B$22-Supuestos!$B$24),$B$12,$B$10)*(1+Supuestos!$B$8)^A94</f>
        <v>276416689.53083289</v>
      </c>
      <c r="D94" s="61">
        <f>IF(A94&lt;=(Supuestos!$B$22-Supuestos!$B$24),$C$76,$E$76)*(1+Supuestos!$B$8)^A94*(1-Supuestos!$B$11)^A94</f>
        <v>11050513.420866555</v>
      </c>
      <c r="E94" s="61">
        <f>$G$76*(1+Supuestos!$B$8)^A94*(1-Supuestos!$B$12)^A94*Supuestos!$B$10</f>
        <v>7718200.4666851982</v>
      </c>
      <c r="F94" s="61">
        <f>$I$76*(1+Supuestos!$B$8)^A94</f>
        <v>0</v>
      </c>
      <c r="G94" s="61">
        <f t="shared" si="25"/>
        <v>257647975.64328113</v>
      </c>
      <c r="H94" s="61">
        <f>D94+E94+F94-(Supuestos!$B$19*$B$6+Supuestos!$B$20*$F$6)*(1+Supuestos!$B$8)^(A94-1)</f>
        <v>16549041.221052093</v>
      </c>
      <c r="I94" s="61">
        <f>IF(A94&lt;=Supuestos!$J$32,$K$76*(1-Supuestos!$B$11)^A94*Supuestos!$I$32*(1+Supuestos!$B$9)^(A94-1),0)</f>
        <v>0</v>
      </c>
      <c r="J94" s="61">
        <f>E94*Supuestos!$K$32</f>
        <v>3859100.2333425991</v>
      </c>
      <c r="K94" s="61">
        <f>D94-I94+E94-J94+F94-IF(A94&lt;=Supuestos!$J$32,0,Supuestos!$B$19*$B$6*(1+Supuestos!$B$8)^(A94-1))</f>
        <v>13746823.150866458</v>
      </c>
      <c r="L94" s="61">
        <f>I94+J94-IF(A94&lt;=Supuestos!$J$32,(Supuestos!$B$19*$B$6+Supuestos!$B$20*$F$6),Supuestos!$B$20*$F$6)*(1+Supuestos!$B$8)^(A94-1)</f>
        <v>2802218.0701856348</v>
      </c>
    </row>
    <row r="95" spans="1:12" x14ac:dyDescent="0.3">
      <c r="A95" s="12">
        <v>17</v>
      </c>
      <c r="B95" s="59" t="str">
        <f>IF(A95&lt;=(Supuestos!$B$22-Supuestos!$B$24),"Autoabasto","CFE pleno")</f>
        <v>CFE pleno</v>
      </c>
      <c r="C95" s="61">
        <f>IF(A95&lt;=(Supuestos!$B$22-Supuestos!$B$24),$B$12,$B$10)*(1+Supuestos!$B$8)^A95</f>
        <v>293001690.90268284</v>
      </c>
      <c r="D95" s="61">
        <f>IF(A95&lt;=(Supuestos!$B$22-Supuestos!$B$24),$C$76,$E$76)*(1+Supuestos!$B$8)^A95*(1-Supuestos!$B$11)^A95</f>
        <v>11654976.504987959</v>
      </c>
      <c r="E95" s="61">
        <f>$G$76*(1+Supuestos!$B$8)^A95*(1-Supuestos!$B$12)^A95*Supuestos!$B$10</f>
        <v>8079026.338502733</v>
      </c>
      <c r="F95" s="61">
        <f>$I$76*(1+Supuestos!$B$8)^A95</f>
        <v>0</v>
      </c>
      <c r="G95" s="61">
        <f t="shared" si="25"/>
        <v>273267688.05919218</v>
      </c>
      <c r="H95" s="61">
        <f>D95+E95+F95-(Supuestos!$B$19*$B$6+Supuestos!$B$20*$F$6)*(1+Supuestos!$B$8)^(A95-1)</f>
        <v>17381149.817001048</v>
      </c>
      <c r="I95" s="61">
        <f>IF(A95&lt;=Supuestos!$J$32,$K$76*(1-Supuestos!$B$11)^A95*Supuestos!$I$32*(1+Supuestos!$B$9)^(A95-1),0)</f>
        <v>0</v>
      </c>
      <c r="J95" s="61">
        <f>E95*Supuestos!$K$32</f>
        <v>4039513.1692513665</v>
      </c>
      <c r="K95" s="61">
        <f>D95-I95+E95-J95+F95-IF(A95&lt;=Supuestos!$J$32,0,Supuestos!$B$19*$B$6*(1+Supuestos!$B$8)^(A95-1))</f>
        <v>14461931.740696065</v>
      </c>
      <c r="L95" s="61">
        <f>I95+J95-IF(A95&lt;=Supuestos!$J$32,(Supuestos!$B$19*$B$6+Supuestos!$B$20*$F$6),Supuestos!$B$20*$F$6)*(1+Supuestos!$B$8)^(A95-1)</f>
        <v>2919218.0763049843</v>
      </c>
    </row>
    <row r="96" spans="1:12" x14ac:dyDescent="0.3">
      <c r="A96" s="12">
        <v>18</v>
      </c>
      <c r="B96" s="59" t="str">
        <f>IF(A96&lt;=(Supuestos!$B$22-Supuestos!$B$24),"Autoabasto","CFE pleno")</f>
        <v>CFE pleno</v>
      </c>
      <c r="C96" s="61">
        <f>IF(A96&lt;=(Supuestos!$B$22-Supuestos!$B$24),$B$12,$B$10)*(1+Supuestos!$B$8)^A96</f>
        <v>310581792.35684383</v>
      </c>
      <c r="D96" s="61">
        <f>IF(A96&lt;=(Supuestos!$B$22-Supuestos!$B$24),$C$76,$E$76)*(1+Supuestos!$B$8)^A96*(1-Supuestos!$B$11)^A96</f>
        <v>12292503.719810799</v>
      </c>
      <c r="E96" s="61">
        <f>$G$76*(1+Supuestos!$B$8)^A96*(1-Supuestos!$B$12)^A96*Supuestos!$B$10</f>
        <v>8456720.8198277354</v>
      </c>
      <c r="F96" s="61">
        <f>$I$76*(1+Supuestos!$B$8)^A96</f>
        <v>0</v>
      </c>
      <c r="G96" s="61">
        <f t="shared" si="25"/>
        <v>289832567.81720531</v>
      </c>
      <c r="H96" s="61">
        <f>D96+E96+F96-(Supuestos!$B$19*$B$6+Supuestos!$B$20*$F$6)*(1+Supuestos!$B$8)^(A96-1)</f>
        <v>18255200.331559516</v>
      </c>
      <c r="I96" s="61">
        <f>IF(A96&lt;=Supuestos!$J$32,$K$76*(1-Supuestos!$B$11)^A96*Supuestos!$I$32*(1+Supuestos!$B$9)^(A96-1),0)</f>
        <v>0</v>
      </c>
      <c r="J96" s="61">
        <f>E96*Supuestos!$K$32</f>
        <v>4228360.4099138677</v>
      </c>
      <c r="K96" s="61">
        <f>D96-I96+E96-J96+F96-IF(A96&lt;=Supuestos!$J$32,0,Supuestos!$B$19*$B$6*(1+Supuestos!$B$8)^(A96-1))</f>
        <v>15214352.720168812</v>
      </c>
      <c r="L96" s="61">
        <f>I96+J96-IF(A96&lt;=Supuestos!$J$32,(Supuestos!$B$19*$B$6+Supuestos!$B$20*$F$6),Supuestos!$B$20*$F$6)*(1+Supuestos!$B$8)^(A96-1)</f>
        <v>3040847.6113907024</v>
      </c>
    </row>
    <row r="97" spans="1:12" x14ac:dyDescent="0.3">
      <c r="A97" s="12">
        <v>19</v>
      </c>
      <c r="B97" s="59" t="str">
        <f>IF(A97&lt;=(Supuestos!$B$22-Supuestos!$B$24),"Autoabasto","CFE pleno")</f>
        <v>CFE pleno</v>
      </c>
      <c r="C97" s="61">
        <f>IF(A97&lt;=(Supuestos!$B$22-Supuestos!$B$24),$B$12,$B$10)*(1+Supuestos!$B$8)^A97</f>
        <v>329216699.89825451</v>
      </c>
      <c r="D97" s="61">
        <f>IF(A97&lt;=(Supuestos!$B$22-Supuestos!$B$24),$C$76,$E$76)*(1+Supuestos!$B$8)^A97*(1-Supuestos!$B$11)^A97</f>
        <v>12964903.673284451</v>
      </c>
      <c r="E97" s="61">
        <f>$G$76*(1+Supuestos!$B$8)^A97*(1-Supuestos!$B$12)^A97*Supuestos!$B$10</f>
        <v>8852072.5181546845</v>
      </c>
      <c r="F97" s="61">
        <f>$I$76*(1+Supuestos!$B$8)^A97</f>
        <v>0</v>
      </c>
      <c r="G97" s="61">
        <f t="shared" si="25"/>
        <v>307399723.70681536</v>
      </c>
      <c r="H97" s="61">
        <f>D97+E97+F97-(Supuestos!$B$19*$B$6+Supuestos!$B$20*$F$6)*(1+Supuestos!$B$8)^(A97-1)</f>
        <v>19173310.530875377</v>
      </c>
      <c r="I97" s="61">
        <f>IF(A97&lt;=Supuestos!$J$32,$K$76*(1-Supuestos!$B$11)^A97*Supuestos!$I$32*(1+Supuestos!$B$9)^(A97-1),0)</f>
        <v>0</v>
      </c>
      <c r="J97" s="61">
        <f>E97*Supuestos!$K$32</f>
        <v>4426036.2590773422</v>
      </c>
      <c r="K97" s="61">
        <f>D97-I97+E97-J97+F97-IF(A97&lt;=Supuestos!$J$32,0,Supuestos!$B$19*$B$6*(1+Supuestos!$B$8)^(A97-1))</f>
        <v>16006037.838232592</v>
      </c>
      <c r="L97" s="61">
        <f>I97+J97-IF(A97&lt;=Supuestos!$J$32,(Supuestos!$B$19*$B$6+Supuestos!$B$20*$F$6),Supuestos!$B$20*$F$6)*(1+Supuestos!$B$8)^(A97-1)</f>
        <v>3167272.6926427875</v>
      </c>
    </row>
    <row r="98" spans="1:12" x14ac:dyDescent="0.3">
      <c r="A98" s="12">
        <v>20</v>
      </c>
      <c r="B98" s="59" t="str">
        <f>IF(A98&lt;=(Supuestos!$B$22-Supuestos!$B$24),"Autoabasto","CFE pleno")</f>
        <v>CFE pleno</v>
      </c>
      <c r="C98" s="61">
        <f>IF(A98&lt;=(Supuestos!$B$22-Supuestos!$B$24),$B$12,$B$10)*(1+Supuestos!$B$8)^A98</f>
        <v>348969701.89214975</v>
      </c>
      <c r="D98" s="61">
        <f>IF(A98&lt;=(Supuestos!$B$22-Supuestos!$B$24),$C$76,$E$76)*(1+Supuestos!$B$8)^A98*(1-Supuestos!$B$11)^A98</f>
        <v>13674083.904213112</v>
      </c>
      <c r="E98" s="61">
        <f>$G$76*(1+Supuestos!$B$8)^A98*(1-Supuestos!$B$12)^A98*Supuestos!$B$10</f>
        <v>9265906.9083784167</v>
      </c>
      <c r="F98" s="61">
        <f>$I$76*(1+Supuestos!$B$8)^A98</f>
        <v>0</v>
      </c>
      <c r="G98" s="61">
        <f t="shared" si="25"/>
        <v>326029711.07955819</v>
      </c>
      <c r="H98" s="61">
        <f>D98+E98+F98-(Supuestos!$B$19*$B$6+Supuestos!$B$20*$F$6)*(1+Supuestos!$B$8)^(A98-1)</f>
        <v>20137705.212393943</v>
      </c>
      <c r="I98" s="61">
        <f>IF(A98&lt;=Supuestos!$J$32,$K$76*(1-Supuestos!$B$11)^A98*Supuestos!$I$32*(1+Supuestos!$B$9)^(A98-1),0)</f>
        <v>0</v>
      </c>
      <c r="J98" s="61">
        <f>E98*Supuestos!$K$32</f>
        <v>4632953.4541892083</v>
      </c>
      <c r="K98" s="61">
        <f>D98-I98+E98-J98+F98-IF(A98&lt;=Supuestos!$J$32,0,Supuestos!$B$19*$B$6*(1+Supuestos!$B$8)^(A98-1))</f>
        <v>16839041.138625365</v>
      </c>
      <c r="L98" s="61">
        <f>I98+J98-IF(A98&lt;=Supuestos!$J$32,(Supuestos!$B$19*$B$6+Supuestos!$B$20*$F$6),Supuestos!$B$20*$F$6)*(1+Supuestos!$B$8)^(A98-1)</f>
        <v>3298664.0737685803</v>
      </c>
    </row>
    <row r="99" spans="1:12" x14ac:dyDescent="0.3">
      <c r="A99" s="69" t="s">
        <v>212</v>
      </c>
      <c r="H99" s="73">
        <f>SUM(H79:H98)</f>
        <v>262981893.90929702</v>
      </c>
      <c r="K99" s="73">
        <f>SUM(K79:K98)</f>
        <v>141921495.18784413</v>
      </c>
      <c r="L99" s="73">
        <f>SUM(L79:L98)</f>
        <v>121060398.72145291</v>
      </c>
    </row>
    <row r="100" spans="1:12" x14ac:dyDescent="0.3">
      <c r="F100" s="69" t="s">
        <v>213</v>
      </c>
      <c r="G100" s="74">
        <f>IRR(H78:H98)</f>
        <v>0.28926483285891824</v>
      </c>
      <c r="I100" s="69" t="s">
        <v>214</v>
      </c>
      <c r="K100" s="75">
        <f>NPV(Supuestos!$B$7,H79:H98)+H78</f>
        <v>49655657.300569504</v>
      </c>
    </row>
    <row r="101" spans="1:12" x14ac:dyDescent="0.3">
      <c r="F101" s="69" t="s">
        <v>215</v>
      </c>
      <c r="G101" s="74">
        <f>IRR(L78:L98)</f>
        <v>0.17995412008062694</v>
      </c>
      <c r="I101" s="69" t="s">
        <v>216</v>
      </c>
      <c r="K101" s="75">
        <f>NPV(Supuestos!$B$7,K79:K98)+K78</f>
        <v>36199400.470057741</v>
      </c>
    </row>
    <row r="102" spans="1:12" x14ac:dyDescent="0.3">
      <c r="A102" s="63" t="s">
        <v>217</v>
      </c>
    </row>
    <row r="104" spans="1:12" ht="18" customHeight="1" x14ac:dyDescent="0.3">
      <c r="A104" s="3" t="s">
        <v>218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x14ac:dyDescent="0.3">
      <c r="A105" s="34" t="s">
        <v>219</v>
      </c>
      <c r="B105" s="34" t="s">
        <v>220</v>
      </c>
      <c r="C105" s="34" t="s">
        <v>221</v>
      </c>
    </row>
    <row r="106" spans="1:12" x14ac:dyDescent="0.3">
      <c r="A106" s="23" t="s">
        <v>222</v>
      </c>
      <c r="B106" s="76">
        <f>B26+B25+D25</f>
        <v>32640389.4375</v>
      </c>
      <c r="C106" s="76">
        <v>0</v>
      </c>
      <c r="D106" s="5" t="s">
        <v>223</v>
      </c>
    </row>
    <row r="107" spans="1:12" x14ac:dyDescent="0.3">
      <c r="A107" s="23" t="s">
        <v>224</v>
      </c>
      <c r="B107" s="76">
        <f>H79</f>
        <v>7934160.2962122541</v>
      </c>
      <c r="C107" s="76">
        <f>K79</f>
        <v>2748991.2241701353</v>
      </c>
    </row>
    <row r="108" spans="1:12" x14ac:dyDescent="0.3">
      <c r="A108" s="23" t="s">
        <v>225</v>
      </c>
      <c r="B108" s="76">
        <f>H99</f>
        <v>262981893.90929702</v>
      </c>
      <c r="C108" s="76">
        <f>SUM(K79:K98)</f>
        <v>141921495.18784413</v>
      </c>
    </row>
    <row r="109" spans="1:12" x14ac:dyDescent="0.3">
      <c r="A109" s="23" t="s">
        <v>226</v>
      </c>
      <c r="B109" s="77">
        <f>G100</f>
        <v>0.28926483285891824</v>
      </c>
      <c r="C109" s="77">
        <f>G101</f>
        <v>0.17995412008062694</v>
      </c>
    </row>
    <row r="110" spans="1:12" x14ac:dyDescent="0.3">
      <c r="A110" s="23" t="s">
        <v>227</v>
      </c>
      <c r="B110" s="78" t="s">
        <v>228</v>
      </c>
      <c r="C110" s="15">
        <f>Supuestos!$I$32</f>
        <v>1.6116999999999999</v>
      </c>
    </row>
    <row r="111" spans="1:12" x14ac:dyDescent="0.3">
      <c r="A111" s="23" t="s">
        <v>229</v>
      </c>
      <c r="C111" s="79">
        <f>Supuestos!$J$32</f>
        <v>15</v>
      </c>
    </row>
    <row r="113" spans="1:12" ht="18" customHeight="1" x14ac:dyDescent="0.3">
      <c r="A113" s="3" t="s">
        <v>230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ht="15" customHeight="1" x14ac:dyDescent="0.3">
      <c r="A114" s="100" t="s">
        <v>259</v>
      </c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</row>
    <row r="115" spans="1:12" x14ac:dyDescent="0.3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</row>
    <row r="116" spans="1:12" x14ac:dyDescent="0.3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</row>
    <row r="117" spans="1:12" x14ac:dyDescent="0.3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</row>
    <row r="118" spans="1:12" x14ac:dyDescent="0.3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</row>
    <row r="119" spans="1:12" x14ac:dyDescent="0.3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</row>
  </sheetData>
  <mergeCells count="1">
    <mergeCell ref="A114:L11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19"/>
  <sheetViews>
    <sheetView showGridLines="0" zoomScaleNormal="100" workbookViewId="0">
      <pane ySplit="3" topLeftCell="A79" activePane="bottomLeft" state="frozen"/>
      <selection pane="bottomLeft" activeCell="K79" sqref="K79"/>
    </sheetView>
  </sheetViews>
  <sheetFormatPr defaultColWidth="8.6640625" defaultRowHeight="14.4" x14ac:dyDescent="0.3"/>
  <cols>
    <col min="1" max="1" width="34" customWidth="1"/>
    <col min="2" max="18" width="12" customWidth="1"/>
  </cols>
  <sheetData>
    <row r="1" spans="1:12" ht="16.8" x14ac:dyDescent="0.3">
      <c r="A1" s="20" t="s">
        <v>260</v>
      </c>
    </row>
    <row r="2" spans="1:12" x14ac:dyDescent="0.3">
      <c r="A2" s="5" t="s">
        <v>261</v>
      </c>
    </row>
    <row r="3" spans="1:12" x14ac:dyDescent="0.3">
      <c r="A3" s="29" t="s">
        <v>247</v>
      </c>
    </row>
    <row r="5" spans="1:12" ht="18" customHeight="1" x14ac:dyDescent="0.3">
      <c r="A5" s="3" t="s">
        <v>102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3">
      <c r="A6" s="10" t="s">
        <v>85</v>
      </c>
      <c r="B6" s="30">
        <f>Supuestos!$B$33</f>
        <v>839.41</v>
      </c>
      <c r="C6" s="10" t="s">
        <v>86</v>
      </c>
      <c r="D6" s="30">
        <f>Supuestos!$C$33</f>
        <v>751.5</v>
      </c>
      <c r="E6" s="10" t="s">
        <v>87</v>
      </c>
      <c r="F6" s="30">
        <f>Supuestos!$D$33</f>
        <v>1470</v>
      </c>
      <c r="G6" s="23" t="s">
        <v>103</v>
      </c>
      <c r="H6" s="31">
        <f>Supuestos!$D$33*Supuestos!$B$17*SQRT(Supuestos!$B$18)</f>
        <v>1382.6879700062484</v>
      </c>
      <c r="I6" s="10" t="s">
        <v>104</v>
      </c>
      <c r="J6" s="32" t="str">
        <f>Supuestos!$E$33</f>
        <v>No</v>
      </c>
      <c r="K6" s="5" t="s">
        <v>105</v>
      </c>
      <c r="L6" s="33">
        <f>$B$10/(SUM(P45:P56)+SUM(R30:R41))</f>
        <v>1.0000000000434668</v>
      </c>
    </row>
    <row r="8" spans="1:12" ht="18" customHeight="1" x14ac:dyDescent="0.3">
      <c r="A8" s="3" t="s">
        <v>106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3">
      <c r="A9" s="34" t="s">
        <v>107</v>
      </c>
      <c r="B9" s="34" t="s">
        <v>108</v>
      </c>
      <c r="C9" s="34" t="s">
        <v>109</v>
      </c>
      <c r="D9" s="34" t="s">
        <v>110</v>
      </c>
      <c r="E9" s="34" t="s">
        <v>111</v>
      </c>
    </row>
    <row r="10" spans="1:12" x14ac:dyDescent="0.3">
      <c r="A10" s="10" t="s">
        <v>112</v>
      </c>
      <c r="B10" s="35">
        <v>71319345.430000007</v>
      </c>
      <c r="C10" s="36">
        <f>B10/D10</f>
        <v>2.3752187091287205</v>
      </c>
      <c r="D10" s="31">
        <v>30026433</v>
      </c>
      <c r="E10" s="5" t="s">
        <v>113</v>
      </c>
    </row>
    <row r="11" spans="1:12" x14ac:dyDescent="0.3">
      <c r="A11" s="23" t="s">
        <v>248</v>
      </c>
      <c r="B11" s="37">
        <v>7795742.9000000004</v>
      </c>
      <c r="E11" s="5" t="s">
        <v>249</v>
      </c>
    </row>
    <row r="12" spans="1:12" x14ac:dyDescent="0.3">
      <c r="A12" s="38" t="s">
        <v>116</v>
      </c>
      <c r="B12" s="39">
        <f>B10-B11</f>
        <v>63523602.530000009</v>
      </c>
      <c r="C12" s="40">
        <f>B12/D12</f>
        <v>2.1155893718711112</v>
      </c>
      <c r="D12" s="41">
        <f>D10</f>
        <v>30026433</v>
      </c>
      <c r="E12" s="42"/>
    </row>
    <row r="13" spans="1:12" x14ac:dyDescent="0.3">
      <c r="A13" s="5" t="s">
        <v>117</v>
      </c>
      <c r="B13" s="43">
        <v>17688144.559999999</v>
      </c>
      <c r="C13" s="33">
        <f>B13/D13</f>
        <v>2.8652614926613911</v>
      </c>
      <c r="D13" s="44">
        <v>6173309</v>
      </c>
    </row>
    <row r="14" spans="1:12" x14ac:dyDescent="0.3">
      <c r="A14" s="5" t="s">
        <v>250</v>
      </c>
      <c r="B14" s="43">
        <v>45835457.969999999</v>
      </c>
      <c r="C14" s="33">
        <f>B14/D14</f>
        <v>1.9215704395784803</v>
      </c>
      <c r="D14" s="44">
        <v>23853124</v>
      </c>
    </row>
    <row r="15" spans="1:12" x14ac:dyDescent="0.3">
      <c r="A15" s="2" t="s">
        <v>251</v>
      </c>
      <c r="B15" s="80">
        <f>D13/D12</f>
        <v>0.205595816193019</v>
      </c>
      <c r="C15" s="2" t="s">
        <v>252</v>
      </c>
      <c r="D15" s="80">
        <f>D14/D12</f>
        <v>0.79440418380698097</v>
      </c>
      <c r="E15" s="2" t="s">
        <v>253</v>
      </c>
    </row>
    <row r="16" spans="1:12" x14ac:dyDescent="0.3">
      <c r="A16" s="45" t="s">
        <v>119</v>
      </c>
    </row>
    <row r="17" spans="1:18" x14ac:dyDescent="0.3">
      <c r="A17" s="23" t="s">
        <v>120</v>
      </c>
      <c r="B17" s="37">
        <f>F72</f>
        <v>2530292.8262631306</v>
      </c>
      <c r="D17" s="31">
        <f>C72</f>
        <v>1393504.541</v>
      </c>
      <c r="E17" s="5" t="s">
        <v>121</v>
      </c>
    </row>
    <row r="18" spans="1:18" x14ac:dyDescent="0.3">
      <c r="A18" s="23" t="s">
        <v>122</v>
      </c>
      <c r="B18" s="37">
        <f>G72</f>
        <v>2976504.5140602593</v>
      </c>
    </row>
    <row r="19" spans="1:18" x14ac:dyDescent="0.3">
      <c r="A19" s="23" t="s">
        <v>123</v>
      </c>
      <c r="B19" s="37">
        <f>H72</f>
        <v>0</v>
      </c>
      <c r="E19" s="5" t="s">
        <v>124</v>
      </c>
    </row>
    <row r="20" spans="1:18" x14ac:dyDescent="0.3">
      <c r="A20" s="46" t="s">
        <v>125</v>
      </c>
      <c r="B20" s="35">
        <f>B12-B17-B18-B19</f>
        <v>58016805.18967662</v>
      </c>
      <c r="C20" s="47"/>
      <c r="D20" s="47"/>
      <c r="E20" s="47"/>
    </row>
    <row r="21" spans="1:18" x14ac:dyDescent="0.3">
      <c r="A21" s="48" t="s">
        <v>126</v>
      </c>
      <c r="B21" s="49">
        <f>B17+B18+B19</f>
        <v>5506797.3403233904</v>
      </c>
      <c r="C21" s="50">
        <f>B21/B12</f>
        <v>8.6688996231325505E-2</v>
      </c>
    </row>
    <row r="22" spans="1:18" x14ac:dyDescent="0.3">
      <c r="A22" s="48" t="s">
        <v>127</v>
      </c>
      <c r="B22" s="49">
        <f>B10-B20</f>
        <v>13302540.240323387</v>
      </c>
      <c r="C22" s="50">
        <f>B22/B10</f>
        <v>0.18652078422929219</v>
      </c>
    </row>
    <row r="24" spans="1:18" ht="18" customHeight="1" x14ac:dyDescent="0.3">
      <c r="A24" s="3" t="s">
        <v>128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8" x14ac:dyDescent="0.3">
      <c r="A25" s="23" t="s">
        <v>129</v>
      </c>
      <c r="B25" s="37">
        <f>$B$6*1000*Supuestos!$F$33*Supuestos!$B$5</f>
        <v>11048734.125</v>
      </c>
      <c r="C25" s="23" t="s">
        <v>130</v>
      </c>
      <c r="D25" s="37">
        <f>$F$6*Supuestos!$G$33*Supuestos!$B$5</f>
        <v>7223580</v>
      </c>
    </row>
    <row r="26" spans="1:18" x14ac:dyDescent="0.3">
      <c r="A26" s="23" t="s">
        <v>131</v>
      </c>
      <c r="B26" s="51">
        <f>Supuestos!$H$33</f>
        <v>0</v>
      </c>
      <c r="C26" s="10" t="s">
        <v>132</v>
      </c>
      <c r="D26" s="35">
        <f>B25+D25+B26</f>
        <v>18272314.125</v>
      </c>
      <c r="E26" s="2" t="s">
        <v>133</v>
      </c>
    </row>
    <row r="28" spans="1:18" ht="18" customHeight="1" x14ac:dyDescent="0.3">
      <c r="A28" s="3" t="s">
        <v>134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ht="25.5" customHeight="1" x14ac:dyDescent="0.3">
      <c r="A29" s="52" t="s">
        <v>135</v>
      </c>
      <c r="B29" s="52" t="s">
        <v>136</v>
      </c>
      <c r="C29" s="52" t="s">
        <v>137</v>
      </c>
      <c r="D29" s="52" t="s">
        <v>138</v>
      </c>
      <c r="E29" s="52" t="s">
        <v>139</v>
      </c>
      <c r="F29" s="52" t="s">
        <v>140</v>
      </c>
      <c r="G29" s="52" t="s">
        <v>141</v>
      </c>
      <c r="H29" s="52" t="s">
        <v>142</v>
      </c>
      <c r="I29" s="52" t="s">
        <v>143</v>
      </c>
      <c r="J29" s="52" t="s">
        <v>144</v>
      </c>
      <c r="K29" s="52" t="s">
        <v>145</v>
      </c>
      <c r="L29" s="52" t="s">
        <v>146</v>
      </c>
      <c r="M29" s="52" t="s">
        <v>147</v>
      </c>
      <c r="N29" s="52" t="s">
        <v>148</v>
      </c>
      <c r="O29" s="52" t="s">
        <v>149</v>
      </c>
      <c r="P29" s="52" t="s">
        <v>150</v>
      </c>
      <c r="Q29" s="52" t="s">
        <v>151</v>
      </c>
      <c r="R29" s="52" t="s">
        <v>152</v>
      </c>
    </row>
    <row r="30" spans="1:18" x14ac:dyDescent="0.3">
      <c r="A30" s="53" t="s">
        <v>153</v>
      </c>
      <c r="B30" s="54">
        <v>881325</v>
      </c>
      <c r="C30" s="54">
        <v>1481542</v>
      </c>
      <c r="D30" s="54">
        <v>365971</v>
      </c>
      <c r="E30" s="54">
        <v>31</v>
      </c>
      <c r="F30" s="54">
        <v>4272</v>
      </c>
      <c r="G30" s="54">
        <v>4350</v>
      </c>
      <c r="H30" s="55">
        <v>1.8196749999999999</v>
      </c>
      <c r="I30" s="55">
        <v>1.1066499999999999</v>
      </c>
      <c r="J30" s="55">
        <v>2.1272000000000002</v>
      </c>
      <c r="K30" s="54">
        <v>402.07249999999999</v>
      </c>
      <c r="L30" s="56">
        <v>86.15</v>
      </c>
      <c r="M30" s="54">
        <v>703.36</v>
      </c>
      <c r="N30" s="55">
        <v>142.80000000000001</v>
      </c>
      <c r="O30" s="57">
        <v>1</v>
      </c>
      <c r="P30" s="54">
        <v>4</v>
      </c>
      <c r="Q30" s="54">
        <v>22</v>
      </c>
      <c r="R30" s="58">
        <v>-6119.9</v>
      </c>
    </row>
    <row r="31" spans="1:18" x14ac:dyDescent="0.3">
      <c r="A31" s="53" t="s">
        <v>154</v>
      </c>
      <c r="B31" s="54">
        <v>805606</v>
      </c>
      <c r="C31" s="54">
        <v>1252899</v>
      </c>
      <c r="D31" s="54">
        <v>303074</v>
      </c>
      <c r="E31" s="54">
        <v>28</v>
      </c>
      <c r="F31" s="54">
        <v>4136</v>
      </c>
      <c r="G31" s="54">
        <v>4251</v>
      </c>
      <c r="H31" s="55">
        <v>1.8196749999999999</v>
      </c>
      <c r="I31" s="55">
        <v>1.1066499999999999</v>
      </c>
      <c r="J31" s="55">
        <v>2.1272000000000002</v>
      </c>
      <c r="K31" s="54">
        <v>402.07249999999999</v>
      </c>
      <c r="L31" s="56">
        <v>86.15</v>
      </c>
      <c r="M31" s="54">
        <v>703.36</v>
      </c>
      <c r="N31" s="55">
        <v>139.1</v>
      </c>
      <c r="O31" s="57">
        <v>1</v>
      </c>
      <c r="P31" s="54">
        <v>4</v>
      </c>
      <c r="Q31" s="54">
        <v>19</v>
      </c>
      <c r="R31" s="58">
        <v>-2405.6</v>
      </c>
    </row>
    <row r="32" spans="1:18" x14ac:dyDescent="0.3">
      <c r="A32" s="53" t="s">
        <v>155</v>
      </c>
      <c r="B32" s="54">
        <v>960995</v>
      </c>
      <c r="C32" s="54">
        <v>1426117</v>
      </c>
      <c r="D32" s="54">
        <v>335764</v>
      </c>
      <c r="E32" s="54">
        <v>31</v>
      </c>
      <c r="F32" s="54">
        <v>4183</v>
      </c>
      <c r="G32" s="54">
        <v>4350</v>
      </c>
      <c r="H32" s="55">
        <v>1.8196749999999999</v>
      </c>
      <c r="I32" s="55">
        <v>1.1066499999999999</v>
      </c>
      <c r="J32" s="55">
        <v>2.1272000000000002</v>
      </c>
      <c r="K32" s="54">
        <v>402.07249999999999</v>
      </c>
      <c r="L32" s="56">
        <v>86.15</v>
      </c>
      <c r="M32" s="54">
        <v>703.36</v>
      </c>
      <c r="N32" s="55">
        <v>170.1</v>
      </c>
      <c r="O32" s="57">
        <v>1</v>
      </c>
      <c r="P32" s="54">
        <v>4</v>
      </c>
      <c r="Q32" s="54">
        <v>20</v>
      </c>
      <c r="R32" s="58">
        <v>-31043.08</v>
      </c>
    </row>
    <row r="33" spans="1:18" x14ac:dyDescent="0.3">
      <c r="A33" s="53" t="s">
        <v>156</v>
      </c>
      <c r="B33" s="54">
        <v>891289</v>
      </c>
      <c r="C33" s="54">
        <v>1620825</v>
      </c>
      <c r="D33" s="54">
        <v>207717</v>
      </c>
      <c r="E33" s="54">
        <v>30</v>
      </c>
      <c r="F33" s="54">
        <v>4106</v>
      </c>
      <c r="G33" s="54">
        <v>4250</v>
      </c>
      <c r="H33" s="55">
        <v>1.8196749999999999</v>
      </c>
      <c r="I33" s="55">
        <v>1.1066499999999999</v>
      </c>
      <c r="J33" s="55">
        <v>2.1272000000000002</v>
      </c>
      <c r="K33" s="54">
        <v>402.07249999999999</v>
      </c>
      <c r="L33" s="56">
        <v>86.15</v>
      </c>
      <c r="M33" s="54">
        <v>703.36</v>
      </c>
      <c r="N33" s="55">
        <v>150.69999999999999</v>
      </c>
      <c r="O33" s="57">
        <v>1</v>
      </c>
      <c r="P33" s="54">
        <v>2</v>
      </c>
      <c r="Q33" s="54">
        <v>22</v>
      </c>
      <c r="R33" s="58">
        <v>-30192.23</v>
      </c>
    </row>
    <row r="34" spans="1:18" x14ac:dyDescent="0.3">
      <c r="A34" s="53" t="s">
        <v>157</v>
      </c>
      <c r="B34" s="54">
        <v>960467</v>
      </c>
      <c r="C34" s="54">
        <v>1696392</v>
      </c>
      <c r="D34" s="54">
        <v>162699</v>
      </c>
      <c r="E34" s="54">
        <v>31</v>
      </c>
      <c r="F34" s="54">
        <v>4081</v>
      </c>
      <c r="G34" s="54">
        <v>4308</v>
      </c>
      <c r="H34" s="55">
        <v>1.8196749999999999</v>
      </c>
      <c r="I34" s="55">
        <v>1.1066499999999999</v>
      </c>
      <c r="J34" s="55">
        <v>2.1272000000000002</v>
      </c>
      <c r="K34" s="54">
        <v>402.07249999999999</v>
      </c>
      <c r="L34" s="56">
        <v>86.15</v>
      </c>
      <c r="M34" s="54">
        <v>703.36</v>
      </c>
      <c r="N34" s="55">
        <v>143.1</v>
      </c>
      <c r="O34" s="57">
        <v>1</v>
      </c>
      <c r="P34" s="54">
        <v>2</v>
      </c>
      <c r="Q34" s="54">
        <v>21</v>
      </c>
      <c r="R34" s="58">
        <v>-28885.73</v>
      </c>
    </row>
    <row r="35" spans="1:18" x14ac:dyDescent="0.3">
      <c r="A35" s="53" t="s">
        <v>158</v>
      </c>
      <c r="B35" s="54">
        <v>923339</v>
      </c>
      <c r="C35" s="54">
        <v>1593739</v>
      </c>
      <c r="D35" s="54">
        <v>157968</v>
      </c>
      <c r="E35" s="54">
        <v>30</v>
      </c>
      <c r="F35" s="54">
        <v>4146</v>
      </c>
      <c r="G35" s="54">
        <v>4228</v>
      </c>
      <c r="H35" s="55">
        <v>1.8196749999999999</v>
      </c>
      <c r="I35" s="55">
        <v>1.1066499999999999</v>
      </c>
      <c r="J35" s="55">
        <v>2.1272000000000002</v>
      </c>
      <c r="K35" s="54">
        <v>402.07249999999999</v>
      </c>
      <c r="L35" s="56">
        <v>86.15</v>
      </c>
      <c r="M35" s="54">
        <v>703.36</v>
      </c>
      <c r="N35" s="55">
        <v>133.9</v>
      </c>
      <c r="O35" s="57">
        <v>1</v>
      </c>
      <c r="P35" s="54">
        <v>2</v>
      </c>
      <c r="Q35" s="54">
        <v>21</v>
      </c>
      <c r="R35" s="58">
        <v>-27370.41</v>
      </c>
    </row>
    <row r="36" spans="1:18" x14ac:dyDescent="0.3">
      <c r="A36" s="53" t="s">
        <v>159</v>
      </c>
      <c r="B36" s="54">
        <v>765377</v>
      </c>
      <c r="C36" s="54">
        <v>1464549</v>
      </c>
      <c r="D36" s="54">
        <v>150284</v>
      </c>
      <c r="E36" s="54">
        <v>31</v>
      </c>
      <c r="F36" s="54">
        <v>3935</v>
      </c>
      <c r="G36" s="54">
        <v>3987</v>
      </c>
      <c r="H36" s="55">
        <v>1.8196749999999999</v>
      </c>
      <c r="I36" s="55">
        <v>1.1066499999999999</v>
      </c>
      <c r="J36" s="55">
        <v>2.1272000000000002</v>
      </c>
      <c r="K36" s="54">
        <v>402.07249999999999</v>
      </c>
      <c r="L36" s="56">
        <v>86.15</v>
      </c>
      <c r="M36" s="54">
        <v>703.36</v>
      </c>
      <c r="N36" s="55">
        <v>135.19999999999999</v>
      </c>
      <c r="O36" s="57">
        <v>1</v>
      </c>
      <c r="P36" s="54">
        <v>2</v>
      </c>
      <c r="Q36" s="54">
        <v>23</v>
      </c>
      <c r="R36" s="58">
        <v>-5877.13</v>
      </c>
    </row>
    <row r="37" spans="1:18" x14ac:dyDescent="0.3">
      <c r="A37" s="53" t="s">
        <v>160</v>
      </c>
      <c r="B37" s="54">
        <v>900504</v>
      </c>
      <c r="C37" s="54">
        <v>1602297</v>
      </c>
      <c r="D37" s="54">
        <v>152370</v>
      </c>
      <c r="E37" s="54">
        <v>31</v>
      </c>
      <c r="F37" s="54">
        <v>3868</v>
      </c>
      <c r="G37" s="54">
        <v>4012</v>
      </c>
      <c r="H37" s="55">
        <v>1.8196749999999999</v>
      </c>
      <c r="I37" s="55">
        <v>1.1066499999999999</v>
      </c>
      <c r="J37" s="55">
        <v>2.1272000000000002</v>
      </c>
      <c r="K37" s="54">
        <v>402.07249999999999</v>
      </c>
      <c r="L37" s="56">
        <v>86.15</v>
      </c>
      <c r="M37" s="54">
        <v>703.36</v>
      </c>
      <c r="N37" s="55">
        <v>126.5</v>
      </c>
      <c r="O37" s="57">
        <v>1</v>
      </c>
      <c r="P37" s="54">
        <v>2</v>
      </c>
      <c r="Q37" s="54">
        <v>21</v>
      </c>
      <c r="R37" s="58">
        <v>-8586.23</v>
      </c>
    </row>
    <row r="38" spans="1:18" x14ac:dyDescent="0.3">
      <c r="A38" s="53" t="s">
        <v>161</v>
      </c>
      <c r="B38" s="54">
        <v>746286</v>
      </c>
      <c r="C38" s="54">
        <v>1358643</v>
      </c>
      <c r="D38" s="54">
        <v>130996</v>
      </c>
      <c r="E38" s="54">
        <v>30</v>
      </c>
      <c r="F38" s="54">
        <v>3761</v>
      </c>
      <c r="G38" s="54">
        <v>3791</v>
      </c>
      <c r="H38" s="55">
        <v>1.8196749999999999</v>
      </c>
      <c r="I38" s="55">
        <v>1.1066499999999999</v>
      </c>
      <c r="J38" s="55">
        <v>2.1272000000000002</v>
      </c>
      <c r="K38" s="54">
        <v>402.07249999999999</v>
      </c>
      <c r="L38" s="56">
        <v>86.15</v>
      </c>
      <c r="M38" s="54">
        <v>703.36</v>
      </c>
      <c r="N38" s="55">
        <v>119.5</v>
      </c>
      <c r="O38" s="57">
        <v>1</v>
      </c>
      <c r="P38" s="54">
        <v>2</v>
      </c>
      <c r="Q38" s="54">
        <v>21</v>
      </c>
      <c r="R38" s="58">
        <v>-3056.13</v>
      </c>
    </row>
    <row r="39" spans="1:18" x14ac:dyDescent="0.3">
      <c r="A39" s="53" t="s">
        <v>162</v>
      </c>
      <c r="B39" s="54">
        <v>754528</v>
      </c>
      <c r="C39" s="54">
        <v>1417944</v>
      </c>
      <c r="D39" s="54">
        <v>176270</v>
      </c>
      <c r="E39" s="54">
        <v>31</v>
      </c>
      <c r="F39" s="54">
        <v>3121</v>
      </c>
      <c r="G39" s="54">
        <v>3433</v>
      </c>
      <c r="H39" s="55">
        <v>1.8196749999999999</v>
      </c>
      <c r="I39" s="55">
        <v>1.1066499999999999</v>
      </c>
      <c r="J39" s="55">
        <v>2.1272000000000002</v>
      </c>
      <c r="K39" s="54">
        <v>402.07249999999999</v>
      </c>
      <c r="L39" s="56">
        <v>86.15</v>
      </c>
      <c r="M39" s="54">
        <v>703.36</v>
      </c>
      <c r="N39" s="55">
        <v>131.69999999999999</v>
      </c>
      <c r="O39" s="57">
        <v>1</v>
      </c>
      <c r="P39" s="54">
        <v>2</v>
      </c>
      <c r="Q39" s="54">
        <v>23</v>
      </c>
      <c r="R39" s="58">
        <v>-2237.0300000000002</v>
      </c>
    </row>
    <row r="40" spans="1:18" x14ac:dyDescent="0.3">
      <c r="A40" s="53" t="s">
        <v>163</v>
      </c>
      <c r="B40" s="54">
        <v>756600</v>
      </c>
      <c r="C40" s="54">
        <v>1150215</v>
      </c>
      <c r="D40" s="54">
        <v>278429</v>
      </c>
      <c r="E40" s="54">
        <v>30</v>
      </c>
      <c r="F40" s="54">
        <v>3661</v>
      </c>
      <c r="G40" s="54">
        <v>3772</v>
      </c>
      <c r="H40" s="55">
        <v>1.8196749999999999</v>
      </c>
      <c r="I40" s="55">
        <v>1.1066499999999999</v>
      </c>
      <c r="J40" s="55">
        <v>2.1272000000000002</v>
      </c>
      <c r="K40" s="54">
        <v>402.07249999999999</v>
      </c>
      <c r="L40" s="56">
        <v>86.15</v>
      </c>
      <c r="M40" s="54">
        <v>703.36</v>
      </c>
      <c r="N40" s="55">
        <v>136.6</v>
      </c>
      <c r="O40" s="57">
        <v>1</v>
      </c>
      <c r="P40" s="54">
        <v>4</v>
      </c>
      <c r="Q40" s="54">
        <v>19</v>
      </c>
      <c r="R40" s="58">
        <v>-2622.04</v>
      </c>
    </row>
    <row r="41" spans="1:18" x14ac:dyDescent="0.3">
      <c r="A41" s="53" t="s">
        <v>164</v>
      </c>
      <c r="B41" s="54">
        <v>741947</v>
      </c>
      <c r="C41" s="54">
        <v>1178280</v>
      </c>
      <c r="D41" s="54">
        <v>273186</v>
      </c>
      <c r="E41" s="54">
        <v>31</v>
      </c>
      <c r="F41" s="54">
        <v>3968</v>
      </c>
      <c r="G41" s="54">
        <v>3985</v>
      </c>
      <c r="H41" s="55">
        <v>1.8196749999999999</v>
      </c>
      <c r="I41" s="55">
        <v>1.1066499999999999</v>
      </c>
      <c r="J41" s="55">
        <v>2.1272000000000002</v>
      </c>
      <c r="K41" s="54">
        <v>402.07249999999999</v>
      </c>
      <c r="L41" s="56">
        <v>86.15</v>
      </c>
      <c r="M41" s="54">
        <v>703.36</v>
      </c>
      <c r="N41" s="55">
        <v>130.9</v>
      </c>
      <c r="O41" s="57">
        <v>1</v>
      </c>
      <c r="P41" s="54">
        <v>4</v>
      </c>
      <c r="Q41" s="54">
        <v>22</v>
      </c>
      <c r="R41" s="58">
        <v>-4631.66</v>
      </c>
    </row>
    <row r="42" spans="1:18" ht="18" customHeight="1" x14ac:dyDescent="0.3">
      <c r="A42" s="3" t="s">
        <v>165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8" ht="25.5" customHeight="1" x14ac:dyDescent="0.3">
      <c r="A43" s="52" t="s">
        <v>135</v>
      </c>
      <c r="B43" s="52" t="s">
        <v>166</v>
      </c>
      <c r="C43" s="52" t="s">
        <v>167</v>
      </c>
      <c r="D43" s="52" t="s">
        <v>168</v>
      </c>
      <c r="E43" s="52" t="s">
        <v>169</v>
      </c>
      <c r="F43" s="52" t="s">
        <v>170</v>
      </c>
      <c r="G43" s="52" t="s">
        <v>171</v>
      </c>
      <c r="H43" s="52" t="s">
        <v>172</v>
      </c>
      <c r="I43" s="52" t="s">
        <v>173</v>
      </c>
      <c r="J43" s="52" t="s">
        <v>174</v>
      </c>
      <c r="K43" s="52" t="s">
        <v>175</v>
      </c>
      <c r="L43" s="52" t="s">
        <v>176</v>
      </c>
      <c r="M43" s="52" t="s">
        <v>177</v>
      </c>
      <c r="N43" s="52" t="s">
        <v>178</v>
      </c>
      <c r="O43" s="52" t="s">
        <v>179</v>
      </c>
      <c r="P43" s="52" t="s">
        <v>180</v>
      </c>
      <c r="Q43" s="52" t="s">
        <v>181</v>
      </c>
    </row>
    <row r="45" spans="1:18" x14ac:dyDescent="0.3">
      <c r="A45" s="59" t="str">
        <f t="shared" ref="A45:A56" si="0">A30</f>
        <v>Ene</v>
      </c>
      <c r="B45" s="60">
        <f t="shared" ref="B45:B56" si="1">$B$6*N30</f>
        <v>119867.74800000001</v>
      </c>
      <c r="C45" s="60">
        <f>(B30+C30+D30)/(E30*24*Supuestos!$B$16)</f>
        <v>6434.7245802678744</v>
      </c>
      <c r="D45" s="60">
        <f t="shared" ref="D45:D56" si="2">MIN(B45*O30,C30)</f>
        <v>119867.74800000001</v>
      </c>
      <c r="E45" s="61">
        <f t="shared" ref="E45:E56" si="3">D45*H30*O45</f>
        <v>218120.3443419</v>
      </c>
      <c r="F45" s="60">
        <f>((B30+C30+D30)-D45)/(E30*24*Supuestos!$B$16)</f>
        <v>6152.0709583097532</v>
      </c>
      <c r="G45" s="60">
        <f t="shared" ref="G45:G56" si="4">MIN(F30,C45)</f>
        <v>4272</v>
      </c>
      <c r="H45" s="60">
        <f t="shared" ref="H45:H56" si="5">MIN(F30,F45)</f>
        <v>4272</v>
      </c>
      <c r="I45" s="61">
        <f t="shared" ref="I45:I56" si="6">(G45-H45)*K30</f>
        <v>0</v>
      </c>
      <c r="J45" s="60">
        <f t="shared" ref="J45:J56" si="7">IF(P30=0,0,MIN($D$6,$H$6/P30))</f>
        <v>345.6719925015621</v>
      </c>
      <c r="K45" s="60">
        <f t="shared" ref="K45:K56" si="8">MIN(MAX(F30-J45,0),F45)</f>
        <v>3926.3280074984377</v>
      </c>
      <c r="L45" s="61">
        <f t="shared" ref="L45:L56" si="9">(H45-K45)*K30</f>
        <v>138985.20220508438</v>
      </c>
      <c r="M45" s="60">
        <f t="shared" ref="M45:M56" si="10">IF(P30=0,0,MIN($H$6*Q30,D30))</f>
        <v>30419.135340137465</v>
      </c>
      <c r="N45" s="61">
        <f>M45*J30-(M45/Supuestos!$B$18)*I30</f>
        <v>29641.609566203835</v>
      </c>
      <c r="O45" s="62">
        <v>1</v>
      </c>
      <c r="P45" s="61">
        <f t="shared" ref="P45:P56" si="11">M30+B30*I30+C30*H30+D30*J30+G45*K30+MIN(G30,C45)*L30</f>
        <v>6542846.3413000004</v>
      </c>
      <c r="Q45" s="61">
        <f t="shared" ref="Q45:Q56" si="12">(E45+I45)+(L45+N45)</f>
        <v>386747.15611318825</v>
      </c>
    </row>
    <row r="46" spans="1:18" x14ac:dyDescent="0.3">
      <c r="A46" s="59" t="str">
        <f t="shared" si="0"/>
        <v>Feb</v>
      </c>
      <c r="B46" s="60">
        <f t="shared" si="1"/>
        <v>116761.931</v>
      </c>
      <c r="C46" s="60">
        <f>(B31+C31+D31)/(E31*24*Supuestos!$B$16)</f>
        <v>6165.3587092731832</v>
      </c>
      <c r="D46" s="60">
        <f t="shared" si="2"/>
        <v>116761.931</v>
      </c>
      <c r="E46" s="61">
        <f t="shared" si="3"/>
        <v>212468.76679242498</v>
      </c>
      <c r="F46" s="60">
        <f>((B31+C31+D31)-D46)/(E31*24*Supuestos!$B$16)</f>
        <v>5860.5291066207192</v>
      </c>
      <c r="G46" s="60">
        <f t="shared" si="4"/>
        <v>4136</v>
      </c>
      <c r="H46" s="60">
        <f t="shared" si="5"/>
        <v>4136</v>
      </c>
      <c r="I46" s="61">
        <f t="shared" si="6"/>
        <v>0</v>
      </c>
      <c r="J46" s="60">
        <f t="shared" si="7"/>
        <v>345.6719925015621</v>
      </c>
      <c r="K46" s="60">
        <f t="shared" si="8"/>
        <v>3790.3280074984377</v>
      </c>
      <c r="L46" s="61">
        <f t="shared" si="9"/>
        <v>138985.20220508438</v>
      </c>
      <c r="M46" s="60">
        <f t="shared" si="10"/>
        <v>26271.071430118718</v>
      </c>
      <c r="N46" s="61">
        <f>M46*J31-(M46/Supuestos!$B$18)*I31</f>
        <v>25599.571898085123</v>
      </c>
      <c r="O46" s="62">
        <v>1</v>
      </c>
      <c r="P46" s="61">
        <f t="shared" si="11"/>
        <v>5845990.7505249996</v>
      </c>
      <c r="Q46" s="61">
        <f t="shared" si="12"/>
        <v>377053.54089559452</v>
      </c>
    </row>
    <row r="47" spans="1:18" x14ac:dyDescent="0.3">
      <c r="A47" s="59" t="str">
        <f t="shared" si="0"/>
        <v>Mar</v>
      </c>
      <c r="B47" s="60">
        <f t="shared" si="1"/>
        <v>142783.641</v>
      </c>
      <c r="C47" s="60">
        <f>(B32+C32+D32)/(E32*24*Supuestos!$B$16)</f>
        <v>6420.6659120920585</v>
      </c>
      <c r="D47" s="60">
        <f t="shared" si="2"/>
        <v>142783.641</v>
      </c>
      <c r="E47" s="61">
        <f t="shared" si="3"/>
        <v>259819.821936675</v>
      </c>
      <c r="F47" s="60">
        <f>((B32+C32+D32)-D47)/(E32*24*Supuestos!$B$16)</f>
        <v>6083.9755682890027</v>
      </c>
      <c r="G47" s="60">
        <f t="shared" si="4"/>
        <v>4183</v>
      </c>
      <c r="H47" s="60">
        <f t="shared" si="5"/>
        <v>4183</v>
      </c>
      <c r="I47" s="61">
        <f t="shared" si="6"/>
        <v>0</v>
      </c>
      <c r="J47" s="60">
        <f t="shared" si="7"/>
        <v>345.6719925015621</v>
      </c>
      <c r="K47" s="60">
        <f t="shared" si="8"/>
        <v>3837.3280074984377</v>
      </c>
      <c r="L47" s="61">
        <f t="shared" si="9"/>
        <v>138985.20220508438</v>
      </c>
      <c r="M47" s="60">
        <f t="shared" si="10"/>
        <v>27653.759400124967</v>
      </c>
      <c r="N47" s="61">
        <f>M47*J32-(M47/Supuestos!$B$18)*I32</f>
        <v>26946.917787458031</v>
      </c>
      <c r="O47" s="62">
        <v>1</v>
      </c>
      <c r="P47" s="61">
        <f t="shared" si="11"/>
        <v>6430116.8770249998</v>
      </c>
      <c r="Q47" s="61">
        <f t="shared" si="12"/>
        <v>425751.94192921743</v>
      </c>
    </row>
    <row r="48" spans="1:18" x14ac:dyDescent="0.3">
      <c r="A48" s="59" t="str">
        <f t="shared" si="0"/>
        <v>Abr</v>
      </c>
      <c r="B48" s="60">
        <f t="shared" si="1"/>
        <v>126499.08699999998</v>
      </c>
      <c r="C48" s="60">
        <f>(B33+C33+D33)/(E33*24*Supuestos!$B$16)</f>
        <v>6627.2685185185192</v>
      </c>
      <c r="D48" s="60">
        <f t="shared" si="2"/>
        <v>126499.08699999998</v>
      </c>
      <c r="E48" s="61">
        <f t="shared" si="3"/>
        <v>230187.22613672496</v>
      </c>
      <c r="F48" s="60">
        <f>((B33+C33+D33)-D48)/(E33*24*Supuestos!$B$16)</f>
        <v>6319.0348757309948</v>
      </c>
      <c r="G48" s="60">
        <f t="shared" si="4"/>
        <v>4106</v>
      </c>
      <c r="H48" s="60">
        <f t="shared" si="5"/>
        <v>4106</v>
      </c>
      <c r="I48" s="61">
        <f t="shared" si="6"/>
        <v>0</v>
      </c>
      <c r="J48" s="60">
        <f t="shared" si="7"/>
        <v>691.3439850031242</v>
      </c>
      <c r="K48" s="60">
        <f t="shared" si="8"/>
        <v>3414.6560149968759</v>
      </c>
      <c r="L48" s="61">
        <f t="shared" si="9"/>
        <v>277970.40441016859</v>
      </c>
      <c r="M48" s="60">
        <f t="shared" si="10"/>
        <v>30419.135340137465</v>
      </c>
      <c r="N48" s="61">
        <f>M48*J33-(M48/Supuestos!$B$18)*I33</f>
        <v>29641.609566203835</v>
      </c>
      <c r="O48" s="62">
        <v>1</v>
      </c>
      <c r="P48" s="61">
        <f t="shared" si="11"/>
        <v>6395325.851125</v>
      </c>
      <c r="Q48" s="61">
        <f t="shared" si="12"/>
        <v>537799.24011309736</v>
      </c>
    </row>
    <row r="49" spans="1:17" x14ac:dyDescent="0.3">
      <c r="A49" s="59" t="str">
        <f t="shared" si="0"/>
        <v>May</v>
      </c>
      <c r="B49" s="60">
        <f t="shared" si="1"/>
        <v>120119.571</v>
      </c>
      <c r="C49" s="60">
        <f>(B34+C34+D34)/(E34*24*Supuestos!$B$16)</f>
        <v>6648.6464817958877</v>
      </c>
      <c r="D49" s="60">
        <f t="shared" si="2"/>
        <v>120119.571</v>
      </c>
      <c r="E49" s="61">
        <f t="shared" si="3"/>
        <v>218578.58035942499</v>
      </c>
      <c r="F49" s="60">
        <f>((B34+C34+D34)-D49)/(E34*24*Supuestos!$B$16)</f>
        <v>6365.3990497076029</v>
      </c>
      <c r="G49" s="60">
        <f t="shared" si="4"/>
        <v>4081</v>
      </c>
      <c r="H49" s="60">
        <f t="shared" si="5"/>
        <v>4081</v>
      </c>
      <c r="I49" s="61">
        <f t="shared" si="6"/>
        <v>0</v>
      </c>
      <c r="J49" s="60">
        <f t="shared" si="7"/>
        <v>691.3439850031242</v>
      </c>
      <c r="K49" s="60">
        <f t="shared" si="8"/>
        <v>3389.6560149968759</v>
      </c>
      <c r="L49" s="61">
        <f t="shared" si="9"/>
        <v>277970.40441016859</v>
      </c>
      <c r="M49" s="60">
        <f t="shared" si="10"/>
        <v>29036.447370131216</v>
      </c>
      <c r="N49" s="61">
        <f>M49*J34-(M49/Supuestos!$B$18)*I34</f>
        <v>28294.263676830931</v>
      </c>
      <c r="O49" s="62">
        <v>1</v>
      </c>
      <c r="P49" s="61">
        <f t="shared" si="11"/>
        <v>6508571.6634499999</v>
      </c>
      <c r="Q49" s="61">
        <f t="shared" si="12"/>
        <v>524843.24844642449</v>
      </c>
    </row>
    <row r="50" spans="1:17" x14ac:dyDescent="0.3">
      <c r="A50" s="59" t="str">
        <f t="shared" si="0"/>
        <v>Jun</v>
      </c>
      <c r="B50" s="60">
        <f t="shared" si="1"/>
        <v>112396.999</v>
      </c>
      <c r="C50" s="60">
        <f>(B35+C35+D35)/(E35*24*Supuestos!$B$16)</f>
        <v>6518.1432748538018</v>
      </c>
      <c r="D50" s="60">
        <f t="shared" si="2"/>
        <v>112396.999</v>
      </c>
      <c r="E50" s="61">
        <f t="shared" si="3"/>
        <v>204526.00915532498</v>
      </c>
      <c r="F50" s="60">
        <f>((B35+C35+D35)-D50)/(E35*24*Supuestos!$B$16)</f>
        <v>6244.2714449317746</v>
      </c>
      <c r="G50" s="60">
        <f t="shared" si="4"/>
        <v>4146</v>
      </c>
      <c r="H50" s="60">
        <f t="shared" si="5"/>
        <v>4146</v>
      </c>
      <c r="I50" s="61">
        <f t="shared" si="6"/>
        <v>0</v>
      </c>
      <c r="J50" s="60">
        <f t="shared" si="7"/>
        <v>691.3439850031242</v>
      </c>
      <c r="K50" s="60">
        <f t="shared" si="8"/>
        <v>3454.6560149968759</v>
      </c>
      <c r="L50" s="61">
        <f t="shared" si="9"/>
        <v>277970.40441016859</v>
      </c>
      <c r="M50" s="60">
        <f t="shared" si="10"/>
        <v>29036.447370131216</v>
      </c>
      <c r="N50" s="61">
        <f>M50*J35-(M50/Supuestos!$B$18)*I35</f>
        <v>28294.263676830931</v>
      </c>
      <c r="O50" s="62">
        <v>1</v>
      </c>
      <c r="P50" s="61">
        <f t="shared" si="11"/>
        <v>6289867.7937749997</v>
      </c>
      <c r="Q50" s="61">
        <f t="shared" si="12"/>
        <v>510790.67724232445</v>
      </c>
    </row>
    <row r="51" spans="1:17" x14ac:dyDescent="0.3">
      <c r="A51" s="59" t="str">
        <f t="shared" si="0"/>
        <v>Jul</v>
      </c>
      <c r="B51" s="60">
        <f t="shared" si="1"/>
        <v>113488.23199999999</v>
      </c>
      <c r="C51" s="60">
        <f>(B36+C36+D36)/(E36*24*Supuestos!$B$16)</f>
        <v>5612.6438407847581</v>
      </c>
      <c r="D51" s="60">
        <f t="shared" si="2"/>
        <v>113488.23199999999</v>
      </c>
      <c r="E51" s="61">
        <f t="shared" si="3"/>
        <v>206511.69856459997</v>
      </c>
      <c r="F51" s="60">
        <f>((B36+C36+D36)-D51)/(E36*24*Supuestos!$B$16)</f>
        <v>5345.033408790795</v>
      </c>
      <c r="G51" s="60">
        <f t="shared" si="4"/>
        <v>3935</v>
      </c>
      <c r="H51" s="60">
        <f t="shared" si="5"/>
        <v>3935</v>
      </c>
      <c r="I51" s="61">
        <f t="shared" si="6"/>
        <v>0</v>
      </c>
      <c r="J51" s="60">
        <f t="shared" si="7"/>
        <v>691.3439850031242</v>
      </c>
      <c r="K51" s="60">
        <f t="shared" si="8"/>
        <v>3243.6560149968759</v>
      </c>
      <c r="L51" s="61">
        <f t="shared" si="9"/>
        <v>277970.40441016859</v>
      </c>
      <c r="M51" s="60">
        <f t="shared" si="10"/>
        <v>31801.823310143714</v>
      </c>
      <c r="N51" s="61">
        <f>M51*J36-(M51/Supuestos!$B$18)*I36</f>
        <v>30988.955455576732</v>
      </c>
      <c r="O51" s="62">
        <v>1</v>
      </c>
      <c r="P51" s="61">
        <f t="shared" si="11"/>
        <v>5758030.4809249993</v>
      </c>
      <c r="Q51" s="61">
        <f t="shared" si="12"/>
        <v>515471.05843034526</v>
      </c>
    </row>
    <row r="52" spans="1:17" x14ac:dyDescent="0.3">
      <c r="A52" s="59" t="str">
        <f t="shared" si="0"/>
        <v>Ago</v>
      </c>
      <c r="B52" s="60">
        <f t="shared" si="1"/>
        <v>106185.36499999999</v>
      </c>
      <c r="C52" s="60">
        <f>(B37+C37+D37)/(E37*24*Supuestos!$B$16)</f>
        <v>6261.0144312393886</v>
      </c>
      <c r="D52" s="60">
        <f t="shared" si="2"/>
        <v>106185.36499999999</v>
      </c>
      <c r="E52" s="61">
        <f t="shared" si="3"/>
        <v>193222.85405637498</v>
      </c>
      <c r="F52" s="60">
        <f>((B37+C37+D37)-D52)/(E37*24*Supuestos!$B$16)</f>
        <v>6010.6244930201847</v>
      </c>
      <c r="G52" s="60">
        <f t="shared" si="4"/>
        <v>3868</v>
      </c>
      <c r="H52" s="60">
        <f t="shared" si="5"/>
        <v>3868</v>
      </c>
      <c r="I52" s="61">
        <f t="shared" si="6"/>
        <v>0</v>
      </c>
      <c r="J52" s="60">
        <f t="shared" si="7"/>
        <v>691.3439850031242</v>
      </c>
      <c r="K52" s="60">
        <f t="shared" si="8"/>
        <v>3176.6560149968759</v>
      </c>
      <c r="L52" s="61">
        <f t="shared" si="9"/>
        <v>277970.40441016859</v>
      </c>
      <c r="M52" s="60">
        <f t="shared" si="10"/>
        <v>29036.447370131216</v>
      </c>
      <c r="N52" s="61">
        <f>M52*J37-(M52/Supuestos!$B$18)*I37</f>
        <v>28294.263676830931</v>
      </c>
      <c r="O52" s="62">
        <v>1</v>
      </c>
      <c r="P52" s="61">
        <f t="shared" si="11"/>
        <v>6137877.5990749989</v>
      </c>
      <c r="Q52" s="61">
        <f t="shared" si="12"/>
        <v>499487.52214337449</v>
      </c>
    </row>
    <row r="53" spans="1:17" x14ac:dyDescent="0.3">
      <c r="A53" s="59" t="str">
        <f t="shared" si="0"/>
        <v>Sep</v>
      </c>
      <c r="B53" s="60">
        <f t="shared" si="1"/>
        <v>100309.495</v>
      </c>
      <c r="C53" s="60">
        <f>(B38+C38+D38)/(E38*24*Supuestos!$B$16)</f>
        <v>5448.160331384016</v>
      </c>
      <c r="D53" s="60">
        <f t="shared" si="2"/>
        <v>100309.495</v>
      </c>
      <c r="E53" s="61">
        <f t="shared" si="3"/>
        <v>182530.680314125</v>
      </c>
      <c r="F53" s="60">
        <f>((B38+C38+D38)-D53)/(E38*24*Supuestos!$B$16)</f>
        <v>5203.7414839181283</v>
      </c>
      <c r="G53" s="60">
        <f t="shared" si="4"/>
        <v>3761</v>
      </c>
      <c r="H53" s="60">
        <f t="shared" si="5"/>
        <v>3761</v>
      </c>
      <c r="I53" s="61">
        <f t="shared" si="6"/>
        <v>0</v>
      </c>
      <c r="J53" s="60">
        <f t="shared" si="7"/>
        <v>691.3439850031242</v>
      </c>
      <c r="K53" s="60">
        <f t="shared" si="8"/>
        <v>3069.6560149968759</v>
      </c>
      <c r="L53" s="61">
        <f t="shared" si="9"/>
        <v>277970.40441016859</v>
      </c>
      <c r="M53" s="60">
        <f t="shared" si="10"/>
        <v>29036.447370131216</v>
      </c>
      <c r="N53" s="61">
        <f>M53*J38-(M53/Supuestos!$B$18)*I38</f>
        <v>28294.263676830931</v>
      </c>
      <c r="O53" s="62">
        <v>1</v>
      </c>
      <c r="P53" s="61">
        <f t="shared" si="11"/>
        <v>5416313.4766249992</v>
      </c>
      <c r="Q53" s="61">
        <f t="shared" si="12"/>
        <v>488795.34840112447</v>
      </c>
    </row>
    <row r="54" spans="1:17" x14ac:dyDescent="0.3">
      <c r="A54" s="59" t="str">
        <f t="shared" si="0"/>
        <v>Oct</v>
      </c>
      <c r="B54" s="60">
        <f t="shared" si="1"/>
        <v>110550.29699999999</v>
      </c>
      <c r="C54" s="60">
        <f>(B39+C39+D39)/(E39*24*Supuestos!$B$16)</f>
        <v>5538.4408602150543</v>
      </c>
      <c r="D54" s="60">
        <f t="shared" si="2"/>
        <v>110550.29699999999</v>
      </c>
      <c r="E54" s="61">
        <f t="shared" si="3"/>
        <v>201165.61169347499</v>
      </c>
      <c r="F54" s="60">
        <f>((B39+C39+D39)-D54)/(E39*24*Supuestos!$B$16)</f>
        <v>5277.7582130730061</v>
      </c>
      <c r="G54" s="60">
        <f t="shared" si="4"/>
        <v>3121</v>
      </c>
      <c r="H54" s="60">
        <f t="shared" si="5"/>
        <v>3121</v>
      </c>
      <c r="I54" s="61">
        <f t="shared" si="6"/>
        <v>0</v>
      </c>
      <c r="J54" s="60">
        <f t="shared" si="7"/>
        <v>691.3439850031242</v>
      </c>
      <c r="K54" s="60">
        <f t="shared" si="8"/>
        <v>2429.6560149968759</v>
      </c>
      <c r="L54" s="61">
        <f t="shared" si="9"/>
        <v>277970.40441016859</v>
      </c>
      <c r="M54" s="60">
        <f t="shared" si="10"/>
        <v>31801.823310143714</v>
      </c>
      <c r="N54" s="61">
        <f>M54*J39-(M54/Supuestos!$B$18)*I39</f>
        <v>30988.955455576732</v>
      </c>
      <c r="O54" s="62">
        <v>1</v>
      </c>
      <c r="P54" s="61">
        <f t="shared" si="11"/>
        <v>5341481.7858999996</v>
      </c>
      <c r="Q54" s="61">
        <f t="shared" si="12"/>
        <v>510124.97155922028</v>
      </c>
    </row>
    <row r="55" spans="1:17" x14ac:dyDescent="0.3">
      <c r="A55" s="59" t="str">
        <f t="shared" si="0"/>
        <v>Nov</v>
      </c>
      <c r="B55" s="60">
        <f t="shared" si="1"/>
        <v>114663.40599999999</v>
      </c>
      <c r="C55" s="60">
        <f>(B40+C40+D40)/(E40*24*Supuestos!$B$16)</f>
        <v>5324.6686159844057</v>
      </c>
      <c r="D55" s="60">
        <f t="shared" si="2"/>
        <v>114663.40599999999</v>
      </c>
      <c r="E55" s="61">
        <f t="shared" si="3"/>
        <v>208650.13331304997</v>
      </c>
      <c r="F55" s="60">
        <f>((B40+C40+D40)-D55)/(E40*24*Supuestos!$B$16)</f>
        <v>5045.2743518518519</v>
      </c>
      <c r="G55" s="60">
        <f t="shared" si="4"/>
        <v>3661</v>
      </c>
      <c r="H55" s="60">
        <f t="shared" si="5"/>
        <v>3661</v>
      </c>
      <c r="I55" s="61">
        <f t="shared" si="6"/>
        <v>0</v>
      </c>
      <c r="J55" s="60">
        <f t="shared" si="7"/>
        <v>345.6719925015621</v>
      </c>
      <c r="K55" s="60">
        <f t="shared" si="8"/>
        <v>3315.3280074984377</v>
      </c>
      <c r="L55" s="61">
        <f t="shared" si="9"/>
        <v>138985.20220508438</v>
      </c>
      <c r="M55" s="60">
        <f t="shared" si="10"/>
        <v>26271.071430118718</v>
      </c>
      <c r="N55" s="61">
        <f>M55*J40-(M55/Supuestos!$B$18)*I40</f>
        <v>25599.571898085123</v>
      </c>
      <c r="O55" s="62">
        <v>1</v>
      </c>
      <c r="P55" s="61">
        <f t="shared" si="11"/>
        <v>5320231.621425</v>
      </c>
      <c r="Q55" s="61">
        <f t="shared" si="12"/>
        <v>373234.90741621947</v>
      </c>
    </row>
    <row r="56" spans="1:17" x14ac:dyDescent="0.3">
      <c r="A56" s="59" t="str">
        <f t="shared" si="0"/>
        <v>Dic</v>
      </c>
      <c r="B56" s="60">
        <f t="shared" si="1"/>
        <v>109878.769</v>
      </c>
      <c r="C56" s="60">
        <f>(B41+C41+D41)/(E41*24*Supuestos!$B$16)</f>
        <v>5172.1679871722317</v>
      </c>
      <c r="D56" s="60">
        <f t="shared" si="2"/>
        <v>109878.769</v>
      </c>
      <c r="E56" s="61">
        <f t="shared" si="3"/>
        <v>199943.648980075</v>
      </c>
      <c r="F56" s="60">
        <f>((B41+C41+D41)-D56)/(E41*24*Supuestos!$B$16)</f>
        <v>4913.0688337106203</v>
      </c>
      <c r="G56" s="60">
        <f t="shared" si="4"/>
        <v>3968</v>
      </c>
      <c r="H56" s="60">
        <f t="shared" si="5"/>
        <v>3968</v>
      </c>
      <c r="I56" s="61">
        <f t="shared" si="6"/>
        <v>0</v>
      </c>
      <c r="J56" s="60">
        <f t="shared" si="7"/>
        <v>345.6719925015621</v>
      </c>
      <c r="K56" s="60">
        <f t="shared" si="8"/>
        <v>3622.3280074984377</v>
      </c>
      <c r="L56" s="61">
        <f t="shared" si="9"/>
        <v>138985.20220508438</v>
      </c>
      <c r="M56" s="60">
        <f t="shared" si="10"/>
        <v>30419.135340137465</v>
      </c>
      <c r="N56" s="61">
        <f>M56*J41-(M56/Supuestos!$B$18)*I41</f>
        <v>29641.609566203835</v>
      </c>
      <c r="O56" s="62">
        <v>1</v>
      </c>
      <c r="P56" s="61">
        <f t="shared" si="11"/>
        <v>5485718.3557500001</v>
      </c>
      <c r="Q56" s="61">
        <f t="shared" si="12"/>
        <v>368570.46075136319</v>
      </c>
    </row>
    <row r="57" spans="1:17" x14ac:dyDescent="0.3">
      <c r="A57" s="63" t="s">
        <v>182</v>
      </c>
    </row>
    <row r="58" spans="1:17" ht="18" customHeight="1" x14ac:dyDescent="0.3">
      <c r="A58" s="3" t="s">
        <v>183</v>
      </c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7" ht="25.5" customHeight="1" x14ac:dyDescent="0.3">
      <c r="A59" s="64" t="s">
        <v>135</v>
      </c>
      <c r="B59" s="64" t="s">
        <v>184</v>
      </c>
      <c r="C59" s="64" t="s">
        <v>185</v>
      </c>
      <c r="D59" s="64" t="s">
        <v>186</v>
      </c>
      <c r="E59" s="64" t="s">
        <v>187</v>
      </c>
      <c r="F59" s="64" t="s">
        <v>188</v>
      </c>
      <c r="G59" s="64" t="s">
        <v>189</v>
      </c>
      <c r="H59" s="64" t="s">
        <v>190</v>
      </c>
      <c r="I59" s="64" t="s">
        <v>191</v>
      </c>
      <c r="J59" s="64" t="s">
        <v>192</v>
      </c>
      <c r="K59" s="64" t="s">
        <v>17</v>
      </c>
    </row>
    <row r="60" spans="1:17" x14ac:dyDescent="0.3">
      <c r="A60" s="12" t="str">
        <f t="shared" ref="A60:A71" si="13">A30</f>
        <v>Ene</v>
      </c>
      <c r="B60" s="65">
        <f t="shared" ref="B60:B71" si="14">B30+C30+D30</f>
        <v>2728838</v>
      </c>
      <c r="C60" s="65">
        <f t="shared" ref="C60:C71" si="15">B45</f>
        <v>119867.74800000001</v>
      </c>
      <c r="D60" s="65">
        <f t="shared" ref="D60:D71" si="16">M45</f>
        <v>30419.135340137465</v>
      </c>
      <c r="E60" s="66">
        <f t="shared" ref="E60:E71" si="17">(P45+R30)*$L$6</f>
        <v>6536726.4415841307</v>
      </c>
      <c r="F60" s="66">
        <f t="shared" ref="F60:F71" si="18">(E45+I45)*(1-IF(R30&lt;0,-R30/P45,0))</f>
        <v>217916.3238551415</v>
      </c>
      <c r="G60" s="66">
        <f t="shared" ref="G60:G71" si="19">(L45+N45)*(1-IF(R30&lt;0,-R30/P45,0))</f>
        <v>168469.08542842045</v>
      </c>
      <c r="H60" s="66">
        <f t="shared" ref="H60:H71" si="20">IF($J$6="Sí",MAX(0,R30),0)</f>
        <v>0</v>
      </c>
      <c r="I60" s="66">
        <f t="shared" ref="I60:I71" si="21">E60-F60-G60-H60</f>
        <v>6150341.0323005691</v>
      </c>
      <c r="J60" s="66">
        <f t="shared" ref="J60:J71" si="22">F60+G60+H60</f>
        <v>386385.40928356198</v>
      </c>
      <c r="K60" s="67">
        <f t="shared" ref="K60:K72" si="23">J60/E60</f>
        <v>5.9109924935136816E-2</v>
      </c>
    </row>
    <row r="61" spans="1:17" x14ac:dyDescent="0.3">
      <c r="A61" s="12" t="str">
        <f t="shared" si="13"/>
        <v>Feb</v>
      </c>
      <c r="B61" s="65">
        <f t="shared" si="14"/>
        <v>2361579</v>
      </c>
      <c r="C61" s="65">
        <f t="shared" si="15"/>
        <v>116761.931</v>
      </c>
      <c r="D61" s="65">
        <f t="shared" si="16"/>
        <v>26271.071430118718</v>
      </c>
      <c r="E61" s="66">
        <f t="shared" si="17"/>
        <v>5843585.1507790014</v>
      </c>
      <c r="F61" s="66">
        <f t="shared" si="18"/>
        <v>212381.33681054381</v>
      </c>
      <c r="G61" s="66">
        <f t="shared" si="19"/>
        <v>164517.04817791944</v>
      </c>
      <c r="H61" s="66">
        <f t="shared" si="20"/>
        <v>0</v>
      </c>
      <c r="I61" s="66">
        <f t="shared" si="21"/>
        <v>5466686.7657905379</v>
      </c>
      <c r="J61" s="66">
        <f t="shared" si="22"/>
        <v>376898.38498846325</v>
      </c>
      <c r="K61" s="67">
        <f t="shared" si="23"/>
        <v>6.4497799769071454E-2</v>
      </c>
    </row>
    <row r="62" spans="1:17" x14ac:dyDescent="0.3">
      <c r="A62" s="12" t="str">
        <f t="shared" si="13"/>
        <v>Mar</v>
      </c>
      <c r="B62" s="65">
        <f t="shared" si="14"/>
        <v>2722876</v>
      </c>
      <c r="C62" s="65">
        <f t="shared" si="15"/>
        <v>142783.641</v>
      </c>
      <c r="D62" s="65">
        <f t="shared" si="16"/>
        <v>27653.759400124967</v>
      </c>
      <c r="E62" s="66">
        <f t="shared" si="17"/>
        <v>6399073.7973031467</v>
      </c>
      <c r="F62" s="66">
        <f t="shared" si="18"/>
        <v>258565.47342758573</v>
      </c>
      <c r="G62" s="66">
        <f t="shared" si="19"/>
        <v>165131.0390520228</v>
      </c>
      <c r="H62" s="66">
        <f t="shared" si="20"/>
        <v>0</v>
      </c>
      <c r="I62" s="66">
        <f t="shared" si="21"/>
        <v>5975377.2848235387</v>
      </c>
      <c r="J62" s="66">
        <f t="shared" si="22"/>
        <v>423696.51247960853</v>
      </c>
      <c r="K62" s="67">
        <f t="shared" si="23"/>
        <v>6.6212162244194309E-2</v>
      </c>
    </row>
    <row r="63" spans="1:17" x14ac:dyDescent="0.3">
      <c r="A63" s="12" t="str">
        <f t="shared" si="13"/>
        <v>Abr</v>
      </c>
      <c r="B63" s="65">
        <f t="shared" si="14"/>
        <v>2719831</v>
      </c>
      <c r="C63" s="65">
        <f t="shared" si="15"/>
        <v>126499.08699999998</v>
      </c>
      <c r="D63" s="65">
        <f t="shared" si="16"/>
        <v>30419.135340137465</v>
      </c>
      <c r="E63" s="66">
        <f t="shared" si="17"/>
        <v>6365133.6214016713</v>
      </c>
      <c r="F63" s="66">
        <f t="shared" si="18"/>
        <v>229100.51596176813</v>
      </c>
      <c r="G63" s="66">
        <f t="shared" si="19"/>
        <v>306159.78262914496</v>
      </c>
      <c r="H63" s="66">
        <f t="shared" si="20"/>
        <v>0</v>
      </c>
      <c r="I63" s="66">
        <f t="shared" si="21"/>
        <v>5829873.3228107579</v>
      </c>
      <c r="J63" s="66">
        <f t="shared" si="22"/>
        <v>535260.29859091307</v>
      </c>
      <c r="K63" s="67">
        <f t="shared" si="23"/>
        <v>8.4092547058429695E-2</v>
      </c>
    </row>
    <row r="64" spans="1:17" x14ac:dyDescent="0.3">
      <c r="A64" s="12" t="str">
        <f t="shared" si="13"/>
        <v>May</v>
      </c>
      <c r="B64" s="65">
        <f t="shared" si="14"/>
        <v>2819558</v>
      </c>
      <c r="C64" s="65">
        <f t="shared" si="15"/>
        <v>120119.571</v>
      </c>
      <c r="D64" s="65">
        <f t="shared" si="16"/>
        <v>29036.447370131216</v>
      </c>
      <c r="E64" s="66">
        <f t="shared" si="17"/>
        <v>6479685.9337316509</v>
      </c>
      <c r="F64" s="66">
        <f t="shared" si="18"/>
        <v>217608.50548239754</v>
      </c>
      <c r="G64" s="66">
        <f t="shared" si="19"/>
        <v>304905.43307072384</v>
      </c>
      <c r="H64" s="66">
        <f t="shared" si="20"/>
        <v>0</v>
      </c>
      <c r="I64" s="66">
        <f t="shared" si="21"/>
        <v>5957171.9951785291</v>
      </c>
      <c r="J64" s="66">
        <f t="shared" si="22"/>
        <v>522513.93855312141</v>
      </c>
      <c r="K64" s="67">
        <f t="shared" si="23"/>
        <v>8.0638775381541627E-2</v>
      </c>
    </row>
    <row r="65" spans="1:12" x14ac:dyDescent="0.3">
      <c r="A65" s="12" t="str">
        <f t="shared" si="13"/>
        <v>Jun</v>
      </c>
      <c r="B65" s="65">
        <f t="shared" si="14"/>
        <v>2675046</v>
      </c>
      <c r="C65" s="65">
        <f t="shared" si="15"/>
        <v>112396.999</v>
      </c>
      <c r="D65" s="65">
        <f t="shared" si="16"/>
        <v>29036.447370131216</v>
      </c>
      <c r="E65" s="66">
        <f t="shared" si="17"/>
        <v>6262497.3840472102</v>
      </c>
      <c r="F65" s="66">
        <f t="shared" si="18"/>
        <v>203636.01259104343</v>
      </c>
      <c r="G65" s="66">
        <f t="shared" si="19"/>
        <v>304931.95493484847</v>
      </c>
      <c r="H65" s="66">
        <f t="shared" si="20"/>
        <v>0</v>
      </c>
      <c r="I65" s="66">
        <f t="shared" si="21"/>
        <v>5753929.4165213183</v>
      </c>
      <c r="J65" s="66">
        <f t="shared" si="22"/>
        <v>508567.9675258919</v>
      </c>
      <c r="K65" s="67">
        <f t="shared" si="23"/>
        <v>8.120849181053455E-2</v>
      </c>
    </row>
    <row r="66" spans="1:12" x14ac:dyDescent="0.3">
      <c r="A66" s="12" t="str">
        <f t="shared" si="13"/>
        <v>Jul</v>
      </c>
      <c r="B66" s="65">
        <f t="shared" si="14"/>
        <v>2380210</v>
      </c>
      <c r="C66" s="65">
        <f t="shared" si="15"/>
        <v>113488.23199999999</v>
      </c>
      <c r="D66" s="65">
        <f t="shared" si="16"/>
        <v>31801.823310143714</v>
      </c>
      <c r="E66" s="66">
        <f t="shared" si="17"/>
        <v>5752153.351175027</v>
      </c>
      <c r="F66" s="66">
        <f t="shared" si="18"/>
        <v>206300.91536312064</v>
      </c>
      <c r="G66" s="66">
        <f t="shared" si="19"/>
        <v>308644.00996812613</v>
      </c>
      <c r="H66" s="66">
        <f t="shared" si="20"/>
        <v>0</v>
      </c>
      <c r="I66" s="66">
        <f t="shared" si="21"/>
        <v>5237208.4258437799</v>
      </c>
      <c r="J66" s="66">
        <f t="shared" si="22"/>
        <v>514944.92533124681</v>
      </c>
      <c r="K66" s="67">
        <f t="shared" si="23"/>
        <v>8.9522113527459396E-2</v>
      </c>
    </row>
    <row r="67" spans="1:12" x14ac:dyDescent="0.3">
      <c r="A67" s="12" t="str">
        <f t="shared" si="13"/>
        <v>Ago</v>
      </c>
      <c r="B67" s="65">
        <f t="shared" si="14"/>
        <v>2655171</v>
      </c>
      <c r="C67" s="65">
        <f t="shared" si="15"/>
        <v>106185.36499999999</v>
      </c>
      <c r="D67" s="65">
        <f t="shared" si="16"/>
        <v>29036.447370131216</v>
      </c>
      <c r="E67" s="66">
        <f t="shared" si="17"/>
        <v>6129291.3693414191</v>
      </c>
      <c r="F67" s="66">
        <f t="shared" si="18"/>
        <v>192952.55608457534</v>
      </c>
      <c r="G67" s="66">
        <f t="shared" si="19"/>
        <v>305836.23678666452</v>
      </c>
      <c r="H67" s="66">
        <f t="shared" si="20"/>
        <v>0</v>
      </c>
      <c r="I67" s="66">
        <f t="shared" si="21"/>
        <v>5630502.5764701795</v>
      </c>
      <c r="J67" s="66">
        <f t="shared" si="22"/>
        <v>498788.79287123983</v>
      </c>
      <c r="K67" s="67">
        <f t="shared" si="23"/>
        <v>8.137788902746089E-2</v>
      </c>
    </row>
    <row r="68" spans="1:12" x14ac:dyDescent="0.3">
      <c r="A68" s="12" t="str">
        <f t="shared" si="13"/>
        <v>Sep</v>
      </c>
      <c r="B68" s="65">
        <f t="shared" si="14"/>
        <v>2235925</v>
      </c>
      <c r="C68" s="65">
        <f t="shared" si="15"/>
        <v>100309.495</v>
      </c>
      <c r="D68" s="65">
        <f t="shared" si="16"/>
        <v>29036.447370131216</v>
      </c>
      <c r="E68" s="66">
        <f t="shared" si="17"/>
        <v>5413257.3468602961</v>
      </c>
      <c r="F68" s="66">
        <f t="shared" si="18"/>
        <v>182427.68821619052</v>
      </c>
      <c r="G68" s="66">
        <f t="shared" si="19"/>
        <v>306091.8596548214</v>
      </c>
      <c r="H68" s="66">
        <f t="shared" si="20"/>
        <v>0</v>
      </c>
      <c r="I68" s="66">
        <f t="shared" si="21"/>
        <v>4924737.7989892839</v>
      </c>
      <c r="J68" s="66">
        <f t="shared" si="22"/>
        <v>488519.54787101189</v>
      </c>
      <c r="K68" s="67">
        <f t="shared" si="23"/>
        <v>9.0245025604473533E-2</v>
      </c>
    </row>
    <row r="69" spans="1:12" x14ac:dyDescent="0.3">
      <c r="A69" s="12" t="str">
        <f t="shared" si="13"/>
        <v>Oct</v>
      </c>
      <c r="B69" s="65">
        <f t="shared" si="14"/>
        <v>2348742</v>
      </c>
      <c r="C69" s="65">
        <f t="shared" si="15"/>
        <v>110550.29699999999</v>
      </c>
      <c r="D69" s="65">
        <f t="shared" si="16"/>
        <v>31801.823310143714</v>
      </c>
      <c r="E69" s="66">
        <f t="shared" si="17"/>
        <v>5339244.7561320793</v>
      </c>
      <c r="F69" s="66">
        <f t="shared" si="18"/>
        <v>201081.3628789392</v>
      </c>
      <c r="G69" s="66">
        <f t="shared" si="19"/>
        <v>308829.96667776798</v>
      </c>
      <c r="H69" s="66">
        <f t="shared" si="20"/>
        <v>0</v>
      </c>
      <c r="I69" s="66">
        <f t="shared" si="21"/>
        <v>4829333.426575372</v>
      </c>
      <c r="J69" s="66">
        <f t="shared" si="22"/>
        <v>509911.32955670718</v>
      </c>
      <c r="K69" s="67">
        <f t="shared" si="23"/>
        <v>9.5502520084151998E-2</v>
      </c>
    </row>
    <row r="70" spans="1:12" x14ac:dyDescent="0.3">
      <c r="A70" s="12" t="str">
        <f t="shared" si="13"/>
        <v>Nov</v>
      </c>
      <c r="B70" s="65">
        <f t="shared" si="14"/>
        <v>2185244</v>
      </c>
      <c r="C70" s="65">
        <f t="shared" si="15"/>
        <v>114663.40599999999</v>
      </c>
      <c r="D70" s="65">
        <f t="shared" si="16"/>
        <v>26271.071430118718</v>
      </c>
      <c r="E70" s="66">
        <f t="shared" si="17"/>
        <v>5317609.5816561393</v>
      </c>
      <c r="F70" s="66">
        <f t="shared" si="18"/>
        <v>208547.30151276727</v>
      </c>
      <c r="G70" s="66">
        <f t="shared" si="19"/>
        <v>164503.65961571908</v>
      </c>
      <c r="H70" s="66">
        <f t="shared" si="20"/>
        <v>0</v>
      </c>
      <c r="I70" s="66">
        <f t="shared" si="21"/>
        <v>4944558.620527653</v>
      </c>
      <c r="J70" s="66">
        <f t="shared" si="22"/>
        <v>373050.96112848632</v>
      </c>
      <c r="K70" s="67">
        <f t="shared" si="23"/>
        <v>7.0153883131130829E-2</v>
      </c>
    </row>
    <row r="71" spans="1:12" x14ac:dyDescent="0.3">
      <c r="A71" s="12" t="str">
        <f t="shared" si="13"/>
        <v>Dic</v>
      </c>
      <c r="B71" s="65">
        <f t="shared" si="14"/>
        <v>2193413</v>
      </c>
      <c r="C71" s="65">
        <f t="shared" si="15"/>
        <v>109878.769</v>
      </c>
      <c r="D71" s="65">
        <f t="shared" si="16"/>
        <v>30419.135340137465</v>
      </c>
      <c r="E71" s="66">
        <f t="shared" si="17"/>
        <v>5481086.6959882453</v>
      </c>
      <c r="F71" s="66">
        <f t="shared" si="18"/>
        <v>199774.83407905762</v>
      </c>
      <c r="G71" s="66">
        <f t="shared" si="19"/>
        <v>168484.43806407994</v>
      </c>
      <c r="H71" s="66">
        <f t="shared" si="20"/>
        <v>0</v>
      </c>
      <c r="I71" s="66">
        <f t="shared" si="21"/>
        <v>5112827.4238451077</v>
      </c>
      <c r="J71" s="66">
        <f t="shared" si="22"/>
        <v>368259.27214313752</v>
      </c>
      <c r="K71" s="67">
        <f t="shared" si="23"/>
        <v>6.7187273723051374E-2</v>
      </c>
    </row>
    <row r="72" spans="1:12" x14ac:dyDescent="0.3">
      <c r="A72" s="16" t="s">
        <v>193</v>
      </c>
      <c r="B72" s="28">
        <f t="shared" ref="B72:J72" si="24">SUM(B60:B71)</f>
        <v>30026433</v>
      </c>
      <c r="C72" s="28">
        <f t="shared" si="24"/>
        <v>1393504.541</v>
      </c>
      <c r="D72" s="28">
        <f t="shared" si="24"/>
        <v>351202.74438158708</v>
      </c>
      <c r="E72" s="19">
        <f t="shared" si="24"/>
        <v>71319345.430000007</v>
      </c>
      <c r="F72" s="19">
        <f t="shared" si="24"/>
        <v>2530292.8262631306</v>
      </c>
      <c r="G72" s="19">
        <f t="shared" si="24"/>
        <v>2976504.5140602593</v>
      </c>
      <c r="H72" s="19">
        <f t="shared" si="24"/>
        <v>0</v>
      </c>
      <c r="I72" s="19">
        <f t="shared" si="24"/>
        <v>65812548.089676626</v>
      </c>
      <c r="J72" s="19">
        <f t="shared" si="24"/>
        <v>5506797.3403233904</v>
      </c>
      <c r="K72" s="68">
        <f t="shared" si="23"/>
        <v>7.7213234461445193E-2</v>
      </c>
    </row>
    <row r="73" spans="1:12" x14ac:dyDescent="0.3">
      <c r="A73" s="63" t="s">
        <v>262</v>
      </c>
    </row>
    <row r="75" spans="1:12" ht="18" customHeight="1" x14ac:dyDescent="0.3">
      <c r="A75" s="3" t="s">
        <v>195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x14ac:dyDescent="0.3">
      <c r="A76" s="69" t="s">
        <v>196</v>
      </c>
      <c r="B76" s="70" t="s">
        <v>197</v>
      </c>
      <c r="C76" s="71">
        <f>F72</f>
        <v>2530292.8262631306</v>
      </c>
      <c r="D76" s="70" t="s">
        <v>198</v>
      </c>
      <c r="E76" s="71">
        <f>F72+SUMPRODUCT(E45:E56*(1/O45:O56-1))</f>
        <v>2530292.8262631306</v>
      </c>
      <c r="F76" s="70" t="s">
        <v>199</v>
      </c>
      <c r="G76" s="71">
        <f>G72</f>
        <v>2976504.5140602593</v>
      </c>
      <c r="H76" s="70" t="s">
        <v>200</v>
      </c>
      <c r="I76" s="71">
        <f>H72</f>
        <v>0</v>
      </c>
      <c r="J76" s="70" t="s">
        <v>185</v>
      </c>
      <c r="K76" s="72">
        <f>C72</f>
        <v>1393504.541</v>
      </c>
    </row>
    <row r="77" spans="1:12" ht="25.5" customHeight="1" x14ac:dyDescent="0.3">
      <c r="A77" s="52" t="s">
        <v>201</v>
      </c>
      <c r="B77" s="52" t="s">
        <v>202</v>
      </c>
      <c r="C77" s="52" t="s">
        <v>187</v>
      </c>
      <c r="D77" s="52" t="s">
        <v>203</v>
      </c>
      <c r="E77" s="52" t="s">
        <v>204</v>
      </c>
      <c r="F77" s="52" t="s">
        <v>205</v>
      </c>
      <c r="G77" s="52" t="s">
        <v>206</v>
      </c>
      <c r="H77" s="52" t="s">
        <v>207</v>
      </c>
      <c r="I77" s="52" t="s">
        <v>208</v>
      </c>
      <c r="J77" s="52" t="s">
        <v>209</v>
      </c>
      <c r="K77" s="52" t="s">
        <v>210</v>
      </c>
      <c r="L77" s="52" t="s">
        <v>211</v>
      </c>
    </row>
    <row r="78" spans="1:12" x14ac:dyDescent="0.3">
      <c r="A78" s="12">
        <v>0</v>
      </c>
      <c r="B78" s="12" t="s">
        <v>18</v>
      </c>
      <c r="H78" s="66">
        <f>-B26-B25-D25</f>
        <v>-18272314.125</v>
      </c>
      <c r="K78" s="66">
        <v>0</v>
      </c>
      <c r="L78" s="66">
        <f>-B26-B25-D25</f>
        <v>-18272314.125</v>
      </c>
    </row>
    <row r="79" spans="1:12" x14ac:dyDescent="0.3">
      <c r="A79" s="12">
        <v>1</v>
      </c>
      <c r="B79" s="59" t="str">
        <f>IF(A79&lt;=(Supuestos!$B$22-Supuestos!$B$24),"Autoabasto","CFE pleno")</f>
        <v>Autoabasto</v>
      </c>
      <c r="C79" s="61">
        <f>IF(A79&lt;=(Supuestos!$B$22-Supuestos!$B$24),$B$12,$B$10)*(1+Supuestos!$B$8)^A79</f>
        <v>67335018.681800008</v>
      </c>
      <c r="D79" s="61">
        <f>IF(A79&lt;=(Supuestos!$B$22-Supuestos!$B$24),$C$76,$E$76)*(1+Supuestos!$B$8)^A79*(1-Supuestos!$B$11)^A79</f>
        <v>2668699.8438597242</v>
      </c>
      <c r="E79" s="61">
        <f>$G$76*(1+Supuestos!$B$8)^A79*(1-Supuestos!$B$12)^A79*Supuestos!$B$10</f>
        <v>2336742.0750694326</v>
      </c>
      <c r="F79" s="61">
        <f>$I$76*(1+Supuestos!$B$8)^A79</f>
        <v>0</v>
      </c>
      <c r="G79" s="61">
        <f t="shared" ref="G79:G98" si="25">C79-D79-E79-F79</f>
        <v>62329576.762870848</v>
      </c>
      <c r="H79" s="61">
        <f>D79+E79+F79-(Supuestos!$B$19*$B$6+Supuestos!$B$20*$F$6)*(1+Supuestos!$B$8)^(A79-1)</f>
        <v>4480624.8189291572</v>
      </c>
      <c r="I79" s="61">
        <f>IF(A79&lt;=Supuestos!$J$33,$K$76*(1-Supuestos!$B$11)^A79*Supuestos!$I$33*(1+Supuestos!$B$9)^(A79-1),0)</f>
        <v>2230660.7550329962</v>
      </c>
      <c r="J79" s="61">
        <f>E79*Supuestos!$K$33</f>
        <v>1168371.0375347163</v>
      </c>
      <c r="K79" s="61">
        <f>D79-I79+E79-J79+F79-IF(A79&lt;=Supuestos!$J$33,0,Supuestos!$B$19*$B$6*(1+Supuestos!$B$8)^(A79-1))</f>
        <v>1606410.1263614444</v>
      </c>
      <c r="L79" s="61">
        <f>I79+J79-IF(A79&lt;=Supuestos!$J$33,(Supuestos!$B$19*$B$6+Supuestos!$B$20*$F$6),Supuestos!$B$20*$F$6)*(1+Supuestos!$B$8)^(A79-1)</f>
        <v>2874214.6925677122</v>
      </c>
    </row>
    <row r="80" spans="1:12" x14ac:dyDescent="0.3">
      <c r="A80" s="12">
        <v>2</v>
      </c>
      <c r="B80" s="59" t="str">
        <f>IF(A80&lt;=(Supuestos!$B$22-Supuestos!$B$24),"Autoabasto","CFE pleno")</f>
        <v>Autoabasto</v>
      </c>
      <c r="C80" s="61">
        <f>IF(A80&lt;=(Supuestos!$B$22-Supuestos!$B$24),$B$12,$B$10)*(1+Supuestos!$B$8)^A80</f>
        <v>71375119.802708015</v>
      </c>
      <c r="D80" s="61">
        <f>IF(A80&lt;=(Supuestos!$B$22-Supuestos!$B$24),$C$76,$E$76)*(1+Supuestos!$B$8)^A80*(1-Supuestos!$B$11)^A80</f>
        <v>2814677.7253188514</v>
      </c>
      <c r="E80" s="61">
        <f>$G$76*(1+Supuestos!$B$8)^A80*(1-Supuestos!$B$12)^A80*Supuestos!$B$10</f>
        <v>2445984.7670789286</v>
      </c>
      <c r="F80" s="61">
        <f>$I$76*(1+Supuestos!$B$8)^A80</f>
        <v>0</v>
      </c>
      <c r="G80" s="61">
        <f t="shared" si="25"/>
        <v>66114457.310310237</v>
      </c>
      <c r="H80" s="61">
        <f>D80+E80+F80-(Supuestos!$B$19*$B$6+Supuestos!$B$20*$F$6)*(1+Supuestos!$B$8)^(A80-1)</f>
        <v>4704356.3663977794</v>
      </c>
      <c r="I80" s="61">
        <f>IF(A80&lt;=Supuestos!$J$33,$K$76*(1-Supuestos!$B$11)^A80*Supuestos!$I$33*(1+Supuestos!$B$9)^(A80-1),0)</f>
        <v>2330482.8238207228</v>
      </c>
      <c r="J80" s="61">
        <f>E80*Supuestos!$K$33</f>
        <v>1222992.3835394643</v>
      </c>
      <c r="K80" s="61">
        <f>D80-I80+E80-J80+F80-IF(A80&lt;=Supuestos!$J$33,0,Supuestos!$B$19*$B$6*(1+Supuestos!$B$8)^(A80-1))</f>
        <v>1707187.285037593</v>
      </c>
      <c r="L80" s="61">
        <f>I80+J80-IF(A80&lt;=Supuestos!$J$33,(Supuestos!$B$19*$B$6+Supuestos!$B$20*$F$6),Supuestos!$B$20*$F$6)*(1+Supuestos!$B$8)^(A80-1)</f>
        <v>2997169.0813601869</v>
      </c>
    </row>
    <row r="81" spans="1:12" x14ac:dyDescent="0.3">
      <c r="A81" s="12">
        <v>3</v>
      </c>
      <c r="B81" s="59" t="str">
        <f>IF(A81&lt;=(Supuestos!$B$22-Supuestos!$B$24),"Autoabasto","CFE pleno")</f>
        <v>Autoabasto</v>
      </c>
      <c r="C81" s="61">
        <f>IF(A81&lt;=(Supuestos!$B$22-Supuestos!$B$24),$B$12,$B$10)*(1+Supuestos!$B$8)^A81</f>
        <v>75657626.990870506</v>
      </c>
      <c r="D81" s="61">
        <f>IF(A81&lt;=(Supuestos!$B$22-Supuestos!$B$24),$C$76,$E$76)*(1+Supuestos!$B$8)^A81*(1-Supuestos!$B$11)^A81</f>
        <v>2968640.5968937925</v>
      </c>
      <c r="E81" s="61">
        <f>$G$76*(1+Supuestos!$B$8)^A81*(1-Supuestos!$B$12)^A81*Supuestos!$B$10</f>
        <v>2560334.5549398689</v>
      </c>
      <c r="F81" s="61">
        <f>$I$76*(1+Supuestos!$B$8)^A81</f>
        <v>0</v>
      </c>
      <c r="G81" s="61">
        <f t="shared" si="25"/>
        <v>70128651.839036852</v>
      </c>
      <c r="H81" s="61">
        <f>D81+E81+F81-(Supuestos!$B$19*$B$6+Supuestos!$B$20*$F$6)*(1+Supuestos!$B$8)^(A81-1)</f>
        <v>4939290.6582736606</v>
      </c>
      <c r="I81" s="61">
        <f>IF(A81&lt;=Supuestos!$J$33,$K$76*(1-Supuestos!$B$11)^A81*Supuestos!$I$33*(1+Supuestos!$B$9)^(A81-1),0)</f>
        <v>2434771.9301867001</v>
      </c>
      <c r="J81" s="61">
        <f>E81*Supuestos!$K$33</f>
        <v>1280167.2774699344</v>
      </c>
      <c r="K81" s="61">
        <f>D81-I81+E81-J81+F81-IF(A81&lt;=Supuestos!$J$33,0,Supuestos!$B$19*$B$6*(1+Supuestos!$B$8)^(A81-1))</f>
        <v>1814035.9441770269</v>
      </c>
      <c r="L81" s="61">
        <f>I81+J81-IF(A81&lt;=Supuestos!$J$33,(Supuestos!$B$19*$B$6+Supuestos!$B$20*$F$6),Supuestos!$B$20*$F$6)*(1+Supuestos!$B$8)^(A81-1)</f>
        <v>3125254.7140966346</v>
      </c>
    </row>
    <row r="82" spans="1:12" x14ac:dyDescent="0.3">
      <c r="A82" s="12">
        <v>4</v>
      </c>
      <c r="B82" s="59" t="str">
        <f>IF(A82&lt;=(Supuestos!$B$22-Supuestos!$B$24),"Autoabasto","CFE pleno")</f>
        <v>Autoabasto</v>
      </c>
      <c r="C82" s="61">
        <f>IF(A82&lt;=(Supuestos!$B$22-Supuestos!$B$24),$B$12,$B$10)*(1+Supuestos!$B$8)^A82</f>
        <v>80197084.610322744</v>
      </c>
      <c r="D82" s="61">
        <f>IF(A82&lt;=(Supuestos!$B$22-Supuestos!$B$24),$C$76,$E$76)*(1+Supuestos!$B$8)^A82*(1-Supuestos!$B$11)^A82</f>
        <v>3131025.2375438833</v>
      </c>
      <c r="E82" s="61">
        <f>$G$76*(1+Supuestos!$B$8)^A82*(1-Supuestos!$B$12)^A82*Supuestos!$B$10</f>
        <v>2680030.1953833085</v>
      </c>
      <c r="F82" s="61">
        <f>$I$76*(1+Supuestos!$B$8)^A82</f>
        <v>0</v>
      </c>
      <c r="G82" s="61">
        <f t="shared" si="25"/>
        <v>74386029.177395552</v>
      </c>
      <c r="H82" s="61">
        <f>D82+E82+F82-(Supuestos!$B$19*$B$6+Supuestos!$B$20*$F$6)*(1+Supuestos!$B$8)^(A82-1)</f>
        <v>5185989.8697535908</v>
      </c>
      <c r="I82" s="61">
        <f>IF(A82&lt;=Supuestos!$J$33,$K$76*(1-Supuestos!$B$11)^A82*Supuestos!$I$33*(1+Supuestos!$B$9)^(A82-1),0)</f>
        <v>2543727.9740625555</v>
      </c>
      <c r="J82" s="61">
        <f>E82*Supuestos!$K$33</f>
        <v>1340015.0976916542</v>
      </c>
      <c r="K82" s="61">
        <f>D82-I82+E82-J82+F82-IF(A82&lt;=Supuestos!$J$33,0,Supuestos!$B$19*$B$6*(1+Supuestos!$B$8)^(A82-1))</f>
        <v>1927312.361172982</v>
      </c>
      <c r="L82" s="61">
        <f>I82+J82-IF(A82&lt;=Supuestos!$J$33,(Supuestos!$B$19*$B$6+Supuestos!$B$20*$F$6),Supuestos!$B$20*$F$6)*(1+Supuestos!$B$8)^(A82-1)</f>
        <v>3258677.5085806097</v>
      </c>
    </row>
    <row r="83" spans="1:12" x14ac:dyDescent="0.3">
      <c r="A83" s="12">
        <v>5</v>
      </c>
      <c r="B83" s="59" t="str">
        <f>IF(A83&lt;=(Supuestos!$B$22-Supuestos!$B$24),"Autoabasto","CFE pleno")</f>
        <v>Autoabasto</v>
      </c>
      <c r="C83" s="61">
        <f>IF(A83&lt;=(Supuestos!$B$22-Supuestos!$B$24),$B$12,$B$10)*(1+Supuestos!$B$8)^A83</f>
        <v>85008909.686942115</v>
      </c>
      <c r="D83" s="61">
        <f>IF(A83&lt;=(Supuestos!$B$22-Supuestos!$B$24),$C$76,$E$76)*(1+Supuestos!$B$8)^A83*(1-Supuestos!$B$11)^A83</f>
        <v>3302292.3180375341</v>
      </c>
      <c r="E83" s="61">
        <f>$G$76*(1+Supuestos!$B$8)^A83*(1-Supuestos!$B$12)^A83*Supuestos!$B$10</f>
        <v>2805321.6070174784</v>
      </c>
      <c r="F83" s="61">
        <f>$I$76*(1+Supuestos!$B$8)^A83</f>
        <v>0</v>
      </c>
      <c r="G83" s="61">
        <f t="shared" si="25"/>
        <v>78901295.761887103</v>
      </c>
      <c r="H83" s="61">
        <f>D83+E83+F83-(Supuestos!$B$19*$B$6+Supuestos!$B$20*$F$6)*(1+Supuestos!$B$8)^(A83-1)</f>
        <v>5445044.4280909961</v>
      </c>
      <c r="I83" s="61">
        <f>IF(A83&lt;=Supuestos!$J$33,$K$76*(1-Supuestos!$B$11)^A83*Supuestos!$I$33*(1+Supuestos!$B$9)^(A83-1),0)</f>
        <v>2657559.8009018544</v>
      </c>
      <c r="J83" s="61">
        <f>E83*Supuestos!$K$33</f>
        <v>1402660.8035087392</v>
      </c>
      <c r="K83" s="61">
        <f>D83-I83+E83-J83+F83-IF(A83&lt;=Supuestos!$J$33,0,Supuestos!$B$19*$B$6*(1+Supuestos!$B$8)^(A83-1))</f>
        <v>2047393.3206444189</v>
      </c>
      <c r="L83" s="61">
        <f>I83+J83-IF(A83&lt;=Supuestos!$J$33,(Supuestos!$B$19*$B$6+Supuestos!$B$20*$F$6),Supuestos!$B$20*$F$6)*(1+Supuestos!$B$8)^(A83-1)</f>
        <v>3397651.1074465774</v>
      </c>
    </row>
    <row r="84" spans="1:12" x14ac:dyDescent="0.3">
      <c r="A84" s="12">
        <v>6</v>
      </c>
      <c r="B84" s="59" t="str">
        <f>IF(A84&lt;=(Supuestos!$B$22-Supuestos!$B$24),"Autoabasto","CFE pleno")</f>
        <v>Autoabasto</v>
      </c>
      <c r="C84" s="61">
        <f>IF(A84&lt;=(Supuestos!$B$22-Supuestos!$B$24),$B$12,$B$10)*(1+Supuestos!$B$8)^A84</f>
        <v>90109444.268158644</v>
      </c>
      <c r="D84" s="61">
        <f>IF(A84&lt;=(Supuestos!$B$22-Supuestos!$B$24),$C$76,$E$76)*(1+Supuestos!$B$8)^A84*(1-Supuestos!$B$11)^A84</f>
        <v>3482927.7078341874</v>
      </c>
      <c r="E84" s="61">
        <f>$G$76*(1+Supuestos!$B$8)^A84*(1-Supuestos!$B$12)^A84*Supuestos!$B$10</f>
        <v>2936470.3921455457</v>
      </c>
      <c r="F84" s="61">
        <f>$I$76*(1+Supuestos!$B$8)^A84</f>
        <v>0</v>
      </c>
      <c r="G84" s="61">
        <f t="shared" si="25"/>
        <v>83690046.168178916</v>
      </c>
      <c r="H84" s="61">
        <f>D84+E84+F84-(Supuestos!$B$19*$B$6+Supuestos!$B$20*$F$6)*(1+Supuestos!$B$8)^(A84-1)</f>
        <v>5717074.4331978764</v>
      </c>
      <c r="I84" s="61">
        <f>IF(A84&lt;=Supuestos!$J$33,$K$76*(1-Supuestos!$B$11)^A84*Supuestos!$I$33*(1+Supuestos!$B$9)^(A84-1),0)</f>
        <v>2776485.6019922127</v>
      </c>
      <c r="J84" s="61">
        <f>E84*Supuestos!$K$33</f>
        <v>1468235.1960727728</v>
      </c>
      <c r="K84" s="61">
        <f>D84-I84+E84-J84+F84-IF(A84&lt;=Supuestos!$J$33,0,Supuestos!$B$19*$B$6*(1+Supuestos!$B$8)^(A84-1))</f>
        <v>2174677.3019147478</v>
      </c>
      <c r="L84" s="61">
        <f>I84+J84-IF(A84&lt;=Supuestos!$J$33,(Supuestos!$B$19*$B$6+Supuestos!$B$20*$F$6),Supuestos!$B$20*$F$6)*(1+Supuestos!$B$8)^(A84-1)</f>
        <v>3542397.1312831282</v>
      </c>
    </row>
    <row r="85" spans="1:12" x14ac:dyDescent="0.3">
      <c r="A85" s="12">
        <v>7</v>
      </c>
      <c r="B85" s="59" t="str">
        <f>IF(A85&lt;=(Supuestos!$B$22-Supuestos!$B$24),"Autoabasto","CFE pleno")</f>
        <v>CFE pleno</v>
      </c>
      <c r="C85" s="61">
        <f>IF(A85&lt;=(Supuestos!$B$22-Supuestos!$B$24),$B$12,$B$10)*(1+Supuestos!$B$8)^A85</f>
        <v>107237925.84000523</v>
      </c>
      <c r="D85" s="61">
        <f>IF(A85&lt;=(Supuestos!$B$22-Supuestos!$B$24),$C$76,$E$76)*(1+Supuestos!$B$8)^A85*(1-Supuestos!$B$11)^A85</f>
        <v>3673443.8534527179</v>
      </c>
      <c r="E85" s="61">
        <f>$G$76*(1+Supuestos!$B$8)^A85*(1-Supuestos!$B$12)^A85*Supuestos!$B$10</f>
        <v>3073750.3829783504</v>
      </c>
      <c r="F85" s="61">
        <f>$I$76*(1+Supuestos!$B$8)^A85</f>
        <v>0</v>
      </c>
      <c r="G85" s="61">
        <f t="shared" si="25"/>
        <v>100490731.60357417</v>
      </c>
      <c r="H85" s="61">
        <f>D85+E85+F85-(Supuestos!$B$19*$B$6+Supuestos!$B$20*$F$6)*(1+Supuestos!$B$8)^(A85-1)</f>
        <v>6002731.1496422989</v>
      </c>
      <c r="I85" s="61">
        <f>IF(A85&lt;=Supuestos!$J$33,$K$76*(1-Supuestos!$B$11)^A85*Supuestos!$I$33*(1+Supuestos!$B$9)^(A85-1),0)</f>
        <v>2900733.3326813634</v>
      </c>
      <c r="J85" s="61">
        <f>E85*Supuestos!$K$33</f>
        <v>1536875.1914891752</v>
      </c>
      <c r="K85" s="61">
        <f>D85-I85+E85-J85+F85-IF(A85&lt;=Supuestos!$J$33,0,Supuestos!$B$19*$B$6*(1+Supuestos!$B$8)^(A85-1))</f>
        <v>2309585.7122605294</v>
      </c>
      <c r="L85" s="61">
        <f>I85+J85-IF(A85&lt;=Supuestos!$J$33,(Supuestos!$B$19*$B$6+Supuestos!$B$20*$F$6),Supuestos!$B$20*$F$6)*(1+Supuestos!$B$8)^(A85-1)</f>
        <v>3693145.4373817695</v>
      </c>
    </row>
    <row r="86" spans="1:12" x14ac:dyDescent="0.3">
      <c r="A86" s="12">
        <v>8</v>
      </c>
      <c r="B86" s="59" t="str">
        <f>IF(A86&lt;=(Supuestos!$B$22-Supuestos!$B$24),"Autoabasto","CFE pleno")</f>
        <v>CFE pleno</v>
      </c>
      <c r="C86" s="61">
        <f>IF(A86&lt;=(Supuestos!$B$22-Supuestos!$B$24),$B$12,$B$10)*(1+Supuestos!$B$8)^A86</f>
        <v>113672201.39040554</v>
      </c>
      <c r="D86" s="61">
        <f>IF(A86&lt;=(Supuestos!$B$22-Supuestos!$B$24),$C$76,$E$76)*(1+Supuestos!$B$8)^A86*(1-Supuestos!$B$11)^A86</f>
        <v>3874381.2322365814</v>
      </c>
      <c r="E86" s="61">
        <f>$G$76*(1+Supuestos!$B$8)^A86*(1-Supuestos!$B$12)^A86*Supuestos!$B$10</f>
        <v>3217448.2133825878</v>
      </c>
      <c r="F86" s="61">
        <f>$I$76*(1+Supuestos!$B$8)^A86</f>
        <v>0</v>
      </c>
      <c r="G86" s="61">
        <f t="shared" si="25"/>
        <v>106580371.94478637</v>
      </c>
      <c r="H86" s="61">
        <f>D86+E86+F86-(Supuestos!$B$19*$B$6+Supuestos!$B$20*$F$6)*(1+Supuestos!$B$8)^(A86-1)</f>
        <v>6302698.5736230751</v>
      </c>
      <c r="I86" s="61">
        <f>IF(A86&lt;=Supuestos!$J$33,$K$76*(1-Supuestos!$B$11)^A86*Supuestos!$I$33*(1+Supuestos!$B$9)^(A86-1),0)</f>
        <v>3030541.1493188553</v>
      </c>
      <c r="J86" s="61">
        <f>E86*Supuestos!$K$33</f>
        <v>1608724.1066912939</v>
      </c>
      <c r="K86" s="61">
        <f>D86-I86+E86-J86+F86-IF(A86&lt;=Supuestos!$J$33,0,Supuestos!$B$19*$B$6*(1+Supuestos!$B$8)^(A86-1))</f>
        <v>2452564.18960902</v>
      </c>
      <c r="L86" s="61">
        <f>I86+J86-IF(A86&lt;=Supuestos!$J$33,(Supuestos!$B$19*$B$6+Supuestos!$B$20*$F$6),Supuestos!$B$20*$F$6)*(1+Supuestos!$B$8)^(A86-1)</f>
        <v>3850134.3840140537</v>
      </c>
    </row>
    <row r="87" spans="1:12" x14ac:dyDescent="0.3">
      <c r="A87" s="12">
        <v>9</v>
      </c>
      <c r="B87" s="59" t="str">
        <f>IF(A87&lt;=(Supuestos!$B$22-Supuestos!$B$24),"Autoabasto","CFE pleno")</f>
        <v>CFE pleno</v>
      </c>
      <c r="C87" s="61">
        <f>IF(A87&lt;=(Supuestos!$B$22-Supuestos!$B$24),$B$12,$B$10)*(1+Supuestos!$B$8)^A87</f>
        <v>120492533.47382987</v>
      </c>
      <c r="D87" s="61">
        <f>IF(A87&lt;=(Supuestos!$B$22-Supuestos!$B$24),$C$76,$E$76)*(1+Supuestos!$B$8)^A87*(1-Supuestos!$B$11)^A87</f>
        <v>4086309.8856399222</v>
      </c>
      <c r="E87" s="61">
        <f>$G$76*(1+Supuestos!$B$8)^A87*(1-Supuestos!$B$12)^A87*Supuestos!$B$10</f>
        <v>3367863.9173582238</v>
      </c>
      <c r="F87" s="61">
        <f>$I$76*(1+Supuestos!$B$8)^A87</f>
        <v>0</v>
      </c>
      <c r="G87" s="61">
        <f t="shared" si="25"/>
        <v>113038359.67083173</v>
      </c>
      <c r="H87" s="61">
        <f>D87+E87+F87-(Supuestos!$B$19*$B$6+Supuestos!$B$20*$F$6)*(1+Supuestos!$B$8)^(A87-1)</f>
        <v>6617695.0786822857</v>
      </c>
      <c r="I87" s="61">
        <f>IF(A87&lt;=Supuestos!$J$33,$K$76*(1-Supuestos!$B$11)^A87*Supuestos!$I$33*(1+Supuestos!$B$9)^(A87-1),0)</f>
        <v>3166157.8657508735</v>
      </c>
      <c r="J87" s="61">
        <f>E87*Supuestos!$K$33</f>
        <v>1683931.9586791119</v>
      </c>
      <c r="K87" s="61">
        <f>D87-I87+E87-J87+F87-IF(A87&lt;=Supuestos!$J$33,0,Supuestos!$B$19*$B$6*(1+Supuestos!$B$8)^(A87-1))</f>
        <v>2604083.9785681609</v>
      </c>
      <c r="L87" s="61">
        <f>I87+J87-IF(A87&lt;=Supuestos!$J$33,(Supuestos!$B$19*$B$6+Supuestos!$B$20*$F$6),Supuestos!$B$20*$F$6)*(1+Supuestos!$B$8)^(A87-1)</f>
        <v>4013611.1001141248</v>
      </c>
    </row>
    <row r="88" spans="1:12" x14ac:dyDescent="0.3">
      <c r="A88" s="12">
        <v>10</v>
      </c>
      <c r="B88" s="59" t="str">
        <f>IF(A88&lt;=(Supuestos!$B$22-Supuestos!$B$24),"Autoabasto","CFE pleno")</f>
        <v>CFE pleno</v>
      </c>
      <c r="C88" s="61">
        <f>IF(A88&lt;=(Supuestos!$B$22-Supuestos!$B$24),$B$12,$B$10)*(1+Supuestos!$B$8)^A88</f>
        <v>127722085.48225968</v>
      </c>
      <c r="D88" s="61">
        <f>IF(A88&lt;=(Supuestos!$B$22-Supuestos!$B$24),$C$76,$E$76)*(1+Supuestos!$B$8)^A88*(1-Supuestos!$B$11)^A88</f>
        <v>4309831.0363844261</v>
      </c>
      <c r="E88" s="61">
        <f>$G$76*(1+Supuestos!$B$8)^A88*(1-Supuestos!$B$12)^A88*Supuestos!$B$10</f>
        <v>3525311.555494721</v>
      </c>
      <c r="F88" s="61">
        <f>$I$76*(1+Supuestos!$B$8)^A88</f>
        <v>0</v>
      </c>
      <c r="G88" s="61">
        <f t="shared" si="25"/>
        <v>119886942.89038053</v>
      </c>
      <c r="H88" s="61">
        <f>D88+E88+F88-(Supuestos!$B$19*$B$6+Supuestos!$B$20*$F$6)*(1+Supuestos!$B$8)^(A88-1)</f>
        <v>6948475.1441043355</v>
      </c>
      <c r="I88" s="61">
        <f>IF(A88&lt;=Supuestos!$J$33,$K$76*(1-Supuestos!$B$11)^A88*Supuestos!$I$33*(1+Supuestos!$B$9)^(A88-1),0)</f>
        <v>3307843.4302432258</v>
      </c>
      <c r="J88" s="61">
        <f>E88*Supuestos!$K$33</f>
        <v>1762655.7777473605</v>
      </c>
      <c r="K88" s="61">
        <f>D88-I88+E88-J88+F88-IF(A88&lt;=Supuestos!$J$33,0,Supuestos!$B$19*$B$6*(1+Supuestos!$B$8)^(A88-1))</f>
        <v>2764643.3838885608</v>
      </c>
      <c r="L88" s="61">
        <f>I88+J88-IF(A88&lt;=Supuestos!$J$33,(Supuestos!$B$19*$B$6+Supuestos!$B$20*$F$6),Supuestos!$B$20*$F$6)*(1+Supuestos!$B$8)^(A88-1)</f>
        <v>4183831.7602157746</v>
      </c>
    </row>
    <row r="89" spans="1:12" x14ac:dyDescent="0.3">
      <c r="A89" s="12">
        <v>11</v>
      </c>
      <c r="B89" s="59" t="str">
        <f>IF(A89&lt;=(Supuestos!$B$22-Supuestos!$B$24),"Autoabasto","CFE pleno")</f>
        <v>CFE pleno</v>
      </c>
      <c r="C89" s="61">
        <f>IF(A89&lt;=(Supuestos!$B$22-Supuestos!$B$24),$B$12,$B$10)*(1+Supuestos!$B$8)^A89</f>
        <v>135385410.61119527</v>
      </c>
      <c r="D89" s="61">
        <f>IF(A89&lt;=(Supuestos!$B$22-Supuestos!$B$24),$C$76,$E$76)*(1+Supuestos!$B$8)^A89*(1-Supuestos!$B$11)^A89</f>
        <v>4545578.7940746555</v>
      </c>
      <c r="E89" s="61">
        <f>$G$76*(1+Supuestos!$B$8)^A89*(1-Supuestos!$B$12)^A89*Supuestos!$B$10</f>
        <v>3690119.8707141001</v>
      </c>
      <c r="F89" s="61">
        <f>$I$76*(1+Supuestos!$B$8)^A89</f>
        <v>0</v>
      </c>
      <c r="G89" s="61">
        <f t="shared" si="25"/>
        <v>127149711.94640651</v>
      </c>
      <c r="H89" s="61">
        <f>D89+E89+F89-(Supuestos!$B$19*$B$6+Supuestos!$B$20*$F$6)*(1+Supuestos!$B$8)^(A89-1)</f>
        <v>7295831.1701474544</v>
      </c>
      <c r="I89" s="61">
        <f>IF(A89&lt;=Supuestos!$J$33,$K$76*(1-Supuestos!$B$11)^A89*Supuestos!$I$33*(1+Supuestos!$B$9)^(A89-1),0)</f>
        <v>3455869.4237466091</v>
      </c>
      <c r="J89" s="61">
        <f>E89*Supuestos!$K$33</f>
        <v>1845059.93535705</v>
      </c>
      <c r="K89" s="61">
        <f>D89-I89+E89-J89+F89-IF(A89&lt;=Supuestos!$J$33,0,Supuestos!$B$19*$B$6*(1+Supuestos!$B$8)^(A89-1))</f>
        <v>2934769.3056850964</v>
      </c>
      <c r="L89" s="61">
        <f>I89+J89-IF(A89&lt;=Supuestos!$J$33,(Supuestos!$B$19*$B$6+Supuestos!$B$20*$F$6),Supuestos!$B$20*$F$6)*(1+Supuestos!$B$8)^(A89-1)</f>
        <v>4361061.8644623579</v>
      </c>
    </row>
    <row r="90" spans="1:12" x14ac:dyDescent="0.3">
      <c r="A90" s="12">
        <v>12</v>
      </c>
      <c r="B90" s="59" t="str">
        <f>IF(A90&lt;=(Supuestos!$B$22-Supuestos!$B$24),"Autoabasto","CFE pleno")</f>
        <v>CFE pleno</v>
      </c>
      <c r="C90" s="61">
        <f>IF(A90&lt;=(Supuestos!$B$22-Supuestos!$B$24),$B$12,$B$10)*(1+Supuestos!$B$8)^A90</f>
        <v>143508535.24786699</v>
      </c>
      <c r="D90" s="61">
        <f>IF(A90&lt;=(Supuestos!$B$22-Supuestos!$B$24),$C$76,$E$76)*(1+Supuestos!$B$8)^A90*(1-Supuestos!$B$11)^A90</f>
        <v>4794221.9541105395</v>
      </c>
      <c r="E90" s="61">
        <f>$G$76*(1+Supuestos!$B$8)^A90*(1-Supuestos!$B$12)^A90*Supuestos!$B$10</f>
        <v>3862632.9746699845</v>
      </c>
      <c r="F90" s="61">
        <f>$I$76*(1+Supuestos!$B$8)^A90</f>
        <v>0</v>
      </c>
      <c r="G90" s="61">
        <f t="shared" si="25"/>
        <v>134851680.31908646</v>
      </c>
      <c r="H90" s="61">
        <f>D90+E90+F90-(Supuestos!$B$19*$B$6+Supuestos!$B$20*$F$6)*(1+Supuestos!$B$8)^(A90-1)</f>
        <v>7660595.3844607454</v>
      </c>
      <c r="I90" s="61">
        <f>IF(A90&lt;=Supuestos!$J$33,$K$76*(1-Supuestos!$B$11)^A90*Supuestos!$I$33*(1+Supuestos!$B$9)^(A90-1),0)</f>
        <v>3610519.5804592702</v>
      </c>
      <c r="J90" s="61">
        <f>E90*Supuestos!$K$33</f>
        <v>1931316.4873349923</v>
      </c>
      <c r="K90" s="61">
        <f>D90-I90+E90-J90+F90-IF(A90&lt;=Supuestos!$J$33,0,Supuestos!$B$19*$B$6*(1+Supuestos!$B$8)^(A90-1))</f>
        <v>3115018.8609862612</v>
      </c>
      <c r="L90" s="61">
        <f>I90+J90-IF(A90&lt;=Supuestos!$J$33,(Supuestos!$B$19*$B$6+Supuestos!$B$20*$F$6),Supuestos!$B$20*$F$6)*(1+Supuestos!$B$8)^(A90-1)</f>
        <v>4545576.5234744828</v>
      </c>
    </row>
    <row r="91" spans="1:12" x14ac:dyDescent="0.3">
      <c r="A91" s="12">
        <v>13</v>
      </c>
      <c r="B91" s="59" t="str">
        <f>IF(A91&lt;=(Supuestos!$B$22-Supuestos!$B$24),"Autoabasto","CFE pleno")</f>
        <v>CFE pleno</v>
      </c>
      <c r="C91" s="61">
        <f>IF(A91&lt;=(Supuestos!$B$22-Supuestos!$B$24),$B$12,$B$10)*(1+Supuestos!$B$8)^A91</f>
        <v>152119047.36273903</v>
      </c>
      <c r="D91" s="61">
        <f>IF(A91&lt;=(Supuestos!$B$22-Supuestos!$B$24),$C$76,$E$76)*(1+Supuestos!$B$8)^A91*(1-Supuestos!$B$11)^A91</f>
        <v>5056465.895000387</v>
      </c>
      <c r="E91" s="61">
        <f>$G$76*(1+Supuestos!$B$8)^A91*(1-Supuestos!$B$12)^A91*Supuestos!$B$10</f>
        <v>4043211.0662358068</v>
      </c>
      <c r="F91" s="61">
        <f>$I$76*(1+Supuestos!$B$8)^A91</f>
        <v>0</v>
      </c>
      <c r="G91" s="61">
        <f t="shared" si="25"/>
        <v>143019370.40150282</v>
      </c>
      <c r="H91" s="61">
        <f>D91+E91+F91-(Supuestos!$B$19*$B$6+Supuestos!$B$20*$F$6)*(1+Supuestos!$B$8)^(A91-1)</f>
        <v>8043641.8442572281</v>
      </c>
      <c r="I91" s="61">
        <f>IF(A91&lt;=Supuestos!$J$33,$K$76*(1-Supuestos!$B$11)^A91*Supuestos!$I$33*(1+Supuestos!$B$9)^(A91-1),0)</f>
        <v>3772090.3316848227</v>
      </c>
      <c r="J91" s="61">
        <f>E91*Supuestos!$K$33</f>
        <v>2021605.5331179034</v>
      </c>
      <c r="K91" s="61">
        <f>D91-I91+E91-J91+F91-IF(A91&lt;=Supuestos!$J$33,0,Supuestos!$B$19*$B$6*(1+Supuestos!$B$8)^(A91-1))</f>
        <v>3305981.0964334682</v>
      </c>
      <c r="L91" s="61">
        <f>I91+J91-IF(A91&lt;=Supuestos!$J$33,(Supuestos!$B$19*$B$6+Supuestos!$B$20*$F$6),Supuestos!$B$20*$F$6)*(1+Supuestos!$B$8)^(A91-1)</f>
        <v>4737660.7478237599</v>
      </c>
    </row>
    <row r="92" spans="1:12" x14ac:dyDescent="0.3">
      <c r="A92" s="12">
        <v>14</v>
      </c>
      <c r="B92" s="59" t="str">
        <f>IF(A92&lt;=(Supuestos!$B$22-Supuestos!$B$24),"Autoabasto","CFE pleno")</f>
        <v>CFE pleno</v>
      </c>
      <c r="C92" s="61">
        <f>IF(A92&lt;=(Supuestos!$B$22-Supuestos!$B$24),$B$12,$B$10)*(1+Supuestos!$B$8)^A92</f>
        <v>161246190.20450336</v>
      </c>
      <c r="D92" s="61">
        <f>IF(A92&lt;=(Supuestos!$B$22-Supuestos!$B$24),$C$76,$E$76)*(1+Supuestos!$B$8)^A92*(1-Supuestos!$B$11)^A92</f>
        <v>5333054.5794569077</v>
      </c>
      <c r="E92" s="61">
        <f>$G$76*(1+Supuestos!$B$8)^A92*(1-Supuestos!$B$12)^A92*Supuestos!$B$10</f>
        <v>4232231.1835823311</v>
      </c>
      <c r="F92" s="61">
        <f>$I$76*(1+Supuestos!$B$8)^A92</f>
        <v>0</v>
      </c>
      <c r="G92" s="61">
        <f t="shared" si="25"/>
        <v>151680904.44146413</v>
      </c>
      <c r="H92" s="61">
        <f>D92+E92+F92-(Supuestos!$B$19*$B$6+Supuestos!$B$20*$F$6)*(1+Supuestos!$B$8)^(A92-1)</f>
        <v>8445888.5390415341</v>
      </c>
      <c r="I92" s="61">
        <f>IF(A92&lt;=Supuestos!$J$33,$K$76*(1-Supuestos!$B$11)^A92*Supuestos!$I$33*(1+Supuestos!$B$9)^(A92-1),0)</f>
        <v>3940891.3740277193</v>
      </c>
      <c r="J92" s="61">
        <f>E92*Supuestos!$K$33</f>
        <v>2116115.5917911655</v>
      </c>
      <c r="K92" s="61">
        <f>D92-I92+E92-J92+F92-IF(A92&lt;=Supuestos!$J$33,0,Supuestos!$B$19*$B$6*(1+Supuestos!$B$8)^(A92-1))</f>
        <v>3508278.7972203535</v>
      </c>
      <c r="L92" s="61">
        <f>I92+J92-IF(A92&lt;=Supuestos!$J$33,(Supuestos!$B$19*$B$6+Supuestos!$B$20*$F$6),Supuestos!$B$20*$F$6)*(1+Supuestos!$B$8)^(A92-1)</f>
        <v>4937609.741821181</v>
      </c>
    </row>
    <row r="93" spans="1:12" x14ac:dyDescent="0.3">
      <c r="A93" s="12">
        <v>15</v>
      </c>
      <c r="B93" s="59" t="str">
        <f>IF(A93&lt;=(Supuestos!$B$22-Supuestos!$B$24),"Autoabasto","CFE pleno")</f>
        <v>CFE pleno</v>
      </c>
      <c r="C93" s="61">
        <f>IF(A93&lt;=(Supuestos!$B$22-Supuestos!$B$24),$B$12,$B$10)*(1+Supuestos!$B$8)^A93</f>
        <v>170920961.61677364</v>
      </c>
      <c r="D93" s="61">
        <f>IF(A93&lt;=(Supuestos!$B$22-Supuestos!$B$24),$C$76,$E$76)*(1+Supuestos!$B$8)^A93*(1-Supuestos!$B$11)^A93</f>
        <v>5624772.664953202</v>
      </c>
      <c r="E93" s="61">
        <f>$G$76*(1+Supuestos!$B$8)^A93*(1-Supuestos!$B$12)^A93*Supuestos!$B$10</f>
        <v>4430087.9914148059</v>
      </c>
      <c r="F93" s="61">
        <f>$I$76*(1+Supuestos!$B$8)^A93</f>
        <v>0</v>
      </c>
      <c r="G93" s="61">
        <f t="shared" si="25"/>
        <v>160866100.96040562</v>
      </c>
      <c r="H93" s="61">
        <f>D93+E93+F93-(Supuestos!$B$19*$B$6+Supuestos!$B$20*$F$6)*(1+Supuestos!$B$8)^(A93-1)</f>
        <v>8868299.5989304408</v>
      </c>
      <c r="I93" s="61">
        <f>IF(A93&lt;=Supuestos!$J$33,$K$76*(1-Supuestos!$B$11)^A93*Supuestos!$I$33*(1+Supuestos!$B$9)^(A93-1),0)</f>
        <v>4117246.2630154588</v>
      </c>
      <c r="J93" s="61">
        <f>E93*Supuestos!$K$33</f>
        <v>2215043.9957074029</v>
      </c>
      <c r="K93" s="61">
        <f>D93-I93+E93-J93+F93-IF(A93&lt;=Supuestos!$J$33,0,Supuestos!$B$19*$B$6*(1+Supuestos!$B$8)^(A93-1))</f>
        <v>3722570.3976451466</v>
      </c>
      <c r="L93" s="61">
        <f>I93+J93-IF(A93&lt;=Supuestos!$J$33,(Supuestos!$B$19*$B$6+Supuestos!$B$20*$F$6),Supuestos!$B$20*$F$6)*(1+Supuestos!$B$8)^(A93-1)</f>
        <v>5145729.2012852961</v>
      </c>
    </row>
    <row r="94" spans="1:12" x14ac:dyDescent="0.3">
      <c r="A94" s="12">
        <v>16</v>
      </c>
      <c r="B94" s="59" t="str">
        <f>IF(A94&lt;=(Supuestos!$B$22-Supuestos!$B$24),"Autoabasto","CFE pleno")</f>
        <v>CFE pleno</v>
      </c>
      <c r="C94" s="61">
        <f>IF(A94&lt;=(Supuestos!$B$22-Supuestos!$B$24),$B$12,$B$10)*(1+Supuestos!$B$8)^A94</f>
        <v>181176219.31377998</v>
      </c>
      <c r="D94" s="61">
        <f>IF(A94&lt;=(Supuestos!$B$22-Supuestos!$B$24),$C$76,$E$76)*(1+Supuestos!$B$8)^A94*(1-Supuestos!$B$11)^A94</f>
        <v>5932447.7297261404</v>
      </c>
      <c r="E94" s="61">
        <f>$G$76*(1+Supuestos!$B$8)^A94*(1-Supuestos!$B$12)^A94*Supuestos!$B$10</f>
        <v>4637194.6050134469</v>
      </c>
      <c r="F94" s="61">
        <f>$I$76*(1+Supuestos!$B$8)^A94</f>
        <v>0</v>
      </c>
      <c r="G94" s="61">
        <f t="shared" si="25"/>
        <v>170606576.97904038</v>
      </c>
      <c r="H94" s="61">
        <f>D94+E94+F94-(Supuestos!$B$19*$B$6+Supuestos!$B$20*$F$6)*(1+Supuestos!$B$8)^(A94-1)</f>
        <v>9311887.613855768</v>
      </c>
      <c r="I94" s="61">
        <f>IF(A94&lt;=Supuestos!$J$33,$K$76*(1-Supuestos!$B$11)^A94*Supuestos!$I$33*(1+Supuestos!$B$9)^(A94-1),0)</f>
        <v>0</v>
      </c>
      <c r="J94" s="61">
        <f>E94*Supuestos!$K$33</f>
        <v>2318597.3025067234</v>
      </c>
      <c r="K94" s="61">
        <f>D94-I94+E94-J94+F94-IF(A94&lt;=Supuestos!$J$33,0,Supuestos!$B$19*$B$6*(1+Supuestos!$B$8)^(A94-1))</f>
        <v>7627419.6092432225</v>
      </c>
      <c r="L94" s="61">
        <f>I94+J94-IF(A94&lt;=Supuestos!$J$33,(Supuestos!$B$19*$B$6+Supuestos!$B$20*$F$6),Supuestos!$B$20*$F$6)*(1+Supuestos!$B$8)^(A94-1)</f>
        <v>1684468.0046125448</v>
      </c>
    </row>
    <row r="95" spans="1:12" x14ac:dyDescent="0.3">
      <c r="A95" s="12">
        <v>17</v>
      </c>
      <c r="B95" s="59" t="str">
        <f>IF(A95&lt;=(Supuestos!$B$22-Supuestos!$B$24),"Autoabasto","CFE pleno")</f>
        <v>CFE pleno</v>
      </c>
      <c r="C95" s="61">
        <f>IF(A95&lt;=(Supuestos!$B$22-Supuestos!$B$24),$B$12,$B$10)*(1+Supuestos!$B$8)^A95</f>
        <v>192046792.47260681</v>
      </c>
      <c r="D95" s="61">
        <f>IF(A95&lt;=(Supuestos!$B$22-Supuestos!$B$24),$C$76,$E$76)*(1+Supuestos!$B$8)^A95*(1-Supuestos!$B$11)^A95</f>
        <v>6256952.6205421612</v>
      </c>
      <c r="E95" s="61">
        <f>$G$76*(1+Supuestos!$B$8)^A95*(1-Supuestos!$B$12)^A95*Supuestos!$B$10</f>
        <v>4853983.4527978264</v>
      </c>
      <c r="F95" s="61">
        <f>$I$76*(1+Supuestos!$B$8)^A95</f>
        <v>0</v>
      </c>
      <c r="G95" s="61">
        <f t="shared" si="25"/>
        <v>180935856.39926681</v>
      </c>
      <c r="H95" s="61">
        <f>D95+E95+F95-(Supuestos!$B$19*$B$6+Supuestos!$B$20*$F$6)*(1+Supuestos!$B$8)^(A95-1)</f>
        <v>9777716.0692031384</v>
      </c>
      <c r="I95" s="61">
        <f>IF(A95&lt;=Supuestos!$J$33,$K$76*(1-Supuestos!$B$11)^A95*Supuestos!$I$33*(1+Supuestos!$B$9)^(A95-1),0)</f>
        <v>0</v>
      </c>
      <c r="J95" s="61">
        <f>E95*Supuestos!$K$33</f>
        <v>2426991.7263989132</v>
      </c>
      <c r="K95" s="61">
        <f>D95-I95+E95-J95+F95-IF(A95&lt;=Supuestos!$J$33,0,Supuestos!$B$19*$B$6*(1+Supuestos!$B$8)^(A95-1))</f>
        <v>8022901.3985720538</v>
      </c>
      <c r="L95" s="61">
        <f>I95+J95-IF(A95&lt;=Supuestos!$J$33,(Supuestos!$B$19*$B$6+Supuestos!$B$20*$F$6),Supuestos!$B$20*$F$6)*(1+Supuestos!$B$8)^(A95-1)</f>
        <v>1754814.6706310841</v>
      </c>
    </row>
    <row r="96" spans="1:12" x14ac:dyDescent="0.3">
      <c r="A96" s="12">
        <v>18</v>
      </c>
      <c r="B96" s="59" t="str">
        <f>IF(A96&lt;=(Supuestos!$B$22-Supuestos!$B$24),"Autoabasto","CFE pleno")</f>
        <v>CFE pleno</v>
      </c>
      <c r="C96" s="61">
        <f>IF(A96&lt;=(Supuestos!$B$22-Supuestos!$B$24),$B$12,$B$10)*(1+Supuestos!$B$8)^A96</f>
        <v>203569600.02096322</v>
      </c>
      <c r="D96" s="61">
        <f>IF(A96&lt;=(Supuestos!$B$22-Supuestos!$B$24),$C$76,$E$76)*(1+Supuestos!$B$8)^A96*(1-Supuestos!$B$11)^A96</f>
        <v>6599207.9288858166</v>
      </c>
      <c r="E96" s="61">
        <f>$G$76*(1+Supuestos!$B$8)^A96*(1-Supuestos!$B$12)^A96*Supuestos!$B$10</f>
        <v>5080907.179216125</v>
      </c>
      <c r="F96" s="61">
        <f>$I$76*(1+Supuestos!$B$8)^A96</f>
        <v>0</v>
      </c>
      <c r="G96" s="61">
        <f t="shared" si="25"/>
        <v>191889484.91286129</v>
      </c>
      <c r="H96" s="61">
        <f>D96+E96+F96-(Supuestos!$B$19*$B$6+Supuestos!$B$20*$F$6)*(1+Supuestos!$B$8)^(A96-1)</f>
        <v>10266901.903716881</v>
      </c>
      <c r="I96" s="61">
        <f>IF(A96&lt;=Supuestos!$J$33,$K$76*(1-Supuestos!$B$11)^A96*Supuestos!$I$33*(1+Supuestos!$B$9)^(A96-1),0)</f>
        <v>0</v>
      </c>
      <c r="J96" s="61">
        <f>E96*Supuestos!$K$33</f>
        <v>2540453.5896080625</v>
      </c>
      <c r="K96" s="61">
        <f>D96-I96+E96-J96+F96-IF(A96&lt;=Supuestos!$J$33,0,Supuestos!$B$19*$B$6*(1+Supuestos!$B$8)^(A96-1))</f>
        <v>8438955.9932227172</v>
      </c>
      <c r="L96" s="61">
        <f>I96+J96-IF(A96&lt;=Supuestos!$J$33,(Supuestos!$B$19*$B$6+Supuestos!$B$20*$F$6),Supuestos!$B$20*$F$6)*(1+Supuestos!$B$8)^(A96-1)</f>
        <v>1827945.9104941636</v>
      </c>
    </row>
    <row r="97" spans="1:12" x14ac:dyDescent="0.3">
      <c r="A97" s="12">
        <v>19</v>
      </c>
      <c r="B97" s="59" t="str">
        <f>IF(A97&lt;=(Supuestos!$B$22-Supuestos!$B$24),"Autoabasto","CFE pleno")</f>
        <v>CFE pleno</v>
      </c>
      <c r="C97" s="61">
        <f>IF(A97&lt;=(Supuestos!$B$22-Supuestos!$B$24),$B$12,$B$10)*(1+Supuestos!$B$8)^A97</f>
        <v>215783776.02222103</v>
      </c>
      <c r="D97" s="61">
        <f>IF(A97&lt;=(Supuestos!$B$22-Supuestos!$B$24),$C$76,$E$76)*(1+Supuestos!$B$8)^A97*(1-Supuestos!$B$11)^A97</f>
        <v>6960184.6025958713</v>
      </c>
      <c r="E97" s="61">
        <f>$G$76*(1+Supuestos!$B$8)^A97*(1-Supuestos!$B$12)^A97*Supuestos!$B$10</f>
        <v>5318439.5898444802</v>
      </c>
      <c r="F97" s="61">
        <f>$I$76*(1+Supuestos!$B$8)^A97</f>
        <v>0</v>
      </c>
      <c r="G97" s="61">
        <f t="shared" si="25"/>
        <v>203505151.8297807</v>
      </c>
      <c r="H97" s="61">
        <f>D97+E97+F97-(Supuestos!$B$19*$B$6+Supuestos!$B$20*$F$6)*(1+Supuestos!$B$8)^(A97-1)</f>
        <v>10780618.195792187</v>
      </c>
      <c r="I97" s="61">
        <f>IF(A97&lt;=Supuestos!$J$33,$K$76*(1-Supuestos!$B$11)^A97*Supuestos!$I$33*(1+Supuestos!$B$9)^(A97-1),0)</f>
        <v>0</v>
      </c>
      <c r="J97" s="61">
        <f>E97*Supuestos!$K$33</f>
        <v>2659219.7949222401</v>
      </c>
      <c r="K97" s="61">
        <f>D97-I97+E97-J97+F97-IF(A97&lt;=Supuestos!$J$33,0,Supuestos!$B$19*$B$6*(1+Supuestos!$B$8)^(A97-1))</f>
        <v>8876656.5407306794</v>
      </c>
      <c r="L97" s="61">
        <f>I97+J97-IF(A97&lt;=Supuestos!$J$33,(Supuestos!$B$19*$B$6+Supuestos!$B$20*$F$6),Supuestos!$B$20*$F$6)*(1+Supuestos!$B$8)^(A97-1)</f>
        <v>1903961.6550615071</v>
      </c>
    </row>
    <row r="98" spans="1:12" x14ac:dyDescent="0.3">
      <c r="A98" s="12">
        <v>20</v>
      </c>
      <c r="B98" s="59" t="str">
        <f>IF(A98&lt;=(Supuestos!$B$22-Supuestos!$B$24),"Autoabasto","CFE pleno")</f>
        <v>CFE pleno</v>
      </c>
      <c r="C98" s="61">
        <f>IF(A98&lt;=(Supuestos!$B$22-Supuestos!$B$24),$B$12,$B$10)*(1+Supuestos!$B$8)^A98</f>
        <v>228730802.5835543</v>
      </c>
      <c r="D98" s="61">
        <f>IF(A98&lt;=(Supuestos!$B$22-Supuestos!$B$24),$C$76,$E$76)*(1+Supuestos!$B$8)^A98*(1-Supuestos!$B$11)^A98</f>
        <v>7340906.7003578655</v>
      </c>
      <c r="E98" s="61">
        <f>$G$76*(1+Supuestos!$B$8)^A98*(1-Supuestos!$B$12)^A98*Supuestos!$B$10</f>
        <v>5567076.6406697091</v>
      </c>
      <c r="F98" s="61">
        <f>$I$76*(1+Supuestos!$B$8)^A98</f>
        <v>0</v>
      </c>
      <c r="G98" s="61">
        <f t="shared" si="25"/>
        <v>215822819.24252674</v>
      </c>
      <c r="H98" s="61">
        <f>D98+E98+F98-(Supuestos!$B$19*$B$6+Supuestos!$B$20*$F$6)*(1+Supuestos!$B$8)^(A98-1)</f>
        <v>11320096.984580521</v>
      </c>
      <c r="I98" s="61">
        <f>IF(A98&lt;=Supuestos!$J$33,$K$76*(1-Supuestos!$B$11)^A98*Supuestos!$I$33*(1+Supuestos!$B$9)^(A98-1),0)</f>
        <v>0</v>
      </c>
      <c r="J98" s="61">
        <f>E98*Supuestos!$K$33</f>
        <v>2783538.3203348545</v>
      </c>
      <c r="K98" s="61">
        <f>D98-I98+E98-J98+F98-IF(A98&lt;=Supuestos!$J$33,0,Supuestos!$B$19*$B$6*(1+Supuestos!$B$8)^(A98-1))</f>
        <v>9337132.2924980447</v>
      </c>
      <c r="L98" s="61">
        <f>I98+J98-IF(A98&lt;=Supuestos!$J$33,(Supuestos!$B$19*$B$6+Supuestos!$B$20*$F$6),Supuestos!$B$20*$F$6)*(1+Supuestos!$B$8)^(A98-1)</f>
        <v>1982964.6920824775</v>
      </c>
    </row>
    <row r="99" spans="1:12" x14ac:dyDescent="0.3">
      <c r="A99" s="69" t="s">
        <v>212</v>
      </c>
      <c r="H99" s="73">
        <f>SUM(H79:H98)</f>
        <v>148115457.82468095</v>
      </c>
      <c r="K99" s="73">
        <f>SUM(K79:K98)</f>
        <v>80297577.89587152</v>
      </c>
      <c r="L99" s="73">
        <f>SUM(L79:L98)</f>
        <v>67817879.928809419</v>
      </c>
    </row>
    <row r="100" spans="1:12" x14ac:dyDescent="0.3">
      <c r="F100" s="69" t="s">
        <v>213</v>
      </c>
      <c r="G100" s="74">
        <f>IRR(H78:H98)</f>
        <v>0.29125500722891995</v>
      </c>
      <c r="I100" s="69" t="s">
        <v>214</v>
      </c>
      <c r="K100" s="75">
        <f>NPV(Supuestos!$B$7,H79:H98)+H78</f>
        <v>28119456.692341164</v>
      </c>
    </row>
    <row r="101" spans="1:12" x14ac:dyDescent="0.3">
      <c r="F101" s="69" t="s">
        <v>215</v>
      </c>
      <c r="G101" s="74">
        <f>IRR(L78:L98)</f>
        <v>0.17844880455008316</v>
      </c>
      <c r="I101" s="69" t="s">
        <v>216</v>
      </c>
      <c r="K101" s="75">
        <f>NPV(Supuestos!$B$7,K79:K98)+K78</f>
        <v>20746793.350681506</v>
      </c>
    </row>
    <row r="102" spans="1:12" x14ac:dyDescent="0.3">
      <c r="A102" s="63" t="s">
        <v>217</v>
      </c>
    </row>
    <row r="104" spans="1:12" ht="18" customHeight="1" x14ac:dyDescent="0.3">
      <c r="A104" s="3" t="s">
        <v>218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x14ac:dyDescent="0.3">
      <c r="A105" s="34" t="s">
        <v>219</v>
      </c>
      <c r="B105" s="34" t="s">
        <v>220</v>
      </c>
      <c r="C105" s="34" t="s">
        <v>221</v>
      </c>
    </row>
    <row r="106" spans="1:12" x14ac:dyDescent="0.3">
      <c r="A106" s="23" t="s">
        <v>222</v>
      </c>
      <c r="B106" s="76">
        <f>B26+B25+D25</f>
        <v>18272314.125</v>
      </c>
      <c r="C106" s="76">
        <v>0</v>
      </c>
      <c r="D106" s="5" t="s">
        <v>223</v>
      </c>
    </row>
    <row r="107" spans="1:12" x14ac:dyDescent="0.3">
      <c r="A107" s="23" t="s">
        <v>224</v>
      </c>
      <c r="B107" s="76">
        <f>H79</f>
        <v>4480624.8189291572</v>
      </c>
      <c r="C107" s="76">
        <f>K79</f>
        <v>1606410.1263614444</v>
      </c>
    </row>
    <row r="108" spans="1:12" x14ac:dyDescent="0.3">
      <c r="A108" s="23" t="s">
        <v>225</v>
      </c>
      <c r="B108" s="76">
        <f>H99</f>
        <v>148115457.82468095</v>
      </c>
      <c r="C108" s="76">
        <f>SUM(K79:K98)</f>
        <v>80297577.89587152</v>
      </c>
    </row>
    <row r="109" spans="1:12" x14ac:dyDescent="0.3">
      <c r="A109" s="23" t="s">
        <v>226</v>
      </c>
      <c r="B109" s="77">
        <f>G100</f>
        <v>0.29125500722891995</v>
      </c>
      <c r="C109" s="77">
        <f>G101</f>
        <v>0.17844880455008316</v>
      </c>
    </row>
    <row r="110" spans="1:12" x14ac:dyDescent="0.3">
      <c r="A110" s="23" t="s">
        <v>227</v>
      </c>
      <c r="B110" s="78" t="s">
        <v>228</v>
      </c>
      <c r="C110" s="15">
        <f>Supuestos!$I$33</f>
        <v>1.6088</v>
      </c>
    </row>
    <row r="111" spans="1:12" x14ac:dyDescent="0.3">
      <c r="A111" s="23" t="s">
        <v>229</v>
      </c>
      <c r="C111" s="79">
        <f>Supuestos!$J$33</f>
        <v>15</v>
      </c>
    </row>
    <row r="113" spans="1:12" ht="18" customHeight="1" x14ac:dyDescent="0.3">
      <c r="A113" s="3" t="s">
        <v>230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ht="15" customHeight="1" x14ac:dyDescent="0.3">
      <c r="A114" s="100" t="s">
        <v>263</v>
      </c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</row>
    <row r="115" spans="1:12" x14ac:dyDescent="0.3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</row>
    <row r="116" spans="1:12" x14ac:dyDescent="0.3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</row>
    <row r="117" spans="1:12" x14ac:dyDescent="0.3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</row>
    <row r="118" spans="1:12" x14ac:dyDescent="0.3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</row>
    <row r="119" spans="1:12" x14ac:dyDescent="0.3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</row>
  </sheetData>
  <mergeCells count="1">
    <mergeCell ref="A114:L119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showGridLines="0" zoomScaleNormal="100" workbookViewId="0">
      <selection activeCell="B10" sqref="B10"/>
    </sheetView>
  </sheetViews>
  <sheetFormatPr defaultColWidth="8.6640625" defaultRowHeight="14.4" x14ac:dyDescent="0.3"/>
  <cols>
    <col min="1" max="1" width="20" customWidth="1"/>
    <col min="2" max="3" width="18" customWidth="1"/>
    <col min="4" max="4" width="12" customWidth="1"/>
    <col min="5" max="5" width="20" customWidth="1"/>
    <col min="6" max="6" width="18" customWidth="1"/>
    <col min="7" max="8" width="16" customWidth="1"/>
  </cols>
  <sheetData>
    <row r="1" spans="1:8" ht="16.8" x14ac:dyDescent="0.3">
      <c r="A1" s="20" t="s">
        <v>264</v>
      </c>
    </row>
    <row r="2" spans="1:8" x14ac:dyDescent="0.3">
      <c r="A2" s="81" t="s">
        <v>265</v>
      </c>
    </row>
    <row r="4" spans="1:8" ht="18" customHeight="1" x14ac:dyDescent="0.3">
      <c r="A4" s="3" t="s">
        <v>266</v>
      </c>
      <c r="B4" s="4"/>
      <c r="C4" s="4"/>
      <c r="D4" s="4"/>
      <c r="E4" s="4"/>
      <c r="F4" s="4"/>
      <c r="G4" s="4"/>
      <c r="H4" s="4"/>
    </row>
    <row r="5" spans="1:8" x14ac:dyDescent="0.3">
      <c r="A5" s="9" t="s">
        <v>84</v>
      </c>
      <c r="B5" s="9" t="s">
        <v>85</v>
      </c>
      <c r="C5" s="9" t="s">
        <v>86</v>
      </c>
      <c r="D5" s="9" t="s">
        <v>87</v>
      </c>
      <c r="E5" s="9" t="s">
        <v>20</v>
      </c>
      <c r="F5" s="9" t="s">
        <v>267</v>
      </c>
      <c r="G5" s="9" t="s">
        <v>268</v>
      </c>
      <c r="H5" s="9" t="s">
        <v>269</v>
      </c>
    </row>
    <row r="6" spans="1:8" x14ac:dyDescent="0.3">
      <c r="A6" s="10" t="s">
        <v>22</v>
      </c>
      <c r="B6" s="79">
        <f>Supuestos!$B$28</f>
        <v>2529.67</v>
      </c>
      <c r="C6" s="79">
        <f>Supuestos!$C$28</f>
        <v>751.5</v>
      </c>
      <c r="D6" s="79">
        <f>Supuestos!$D$28</f>
        <v>1470</v>
      </c>
      <c r="E6" s="15">
        <f>Supuestos!$I$28</f>
        <v>1.5573999999999999</v>
      </c>
      <c r="F6" s="79">
        <f>Supuestos!$J$28</f>
        <v>15</v>
      </c>
      <c r="G6" s="14">
        <f>Supuestos!$K$28</f>
        <v>0.5</v>
      </c>
      <c r="H6" s="13">
        <f>Supuestos!$H$28</f>
        <v>0</v>
      </c>
    </row>
    <row r="7" spans="1:8" x14ac:dyDescent="0.3">
      <c r="A7" s="10" t="s">
        <v>25</v>
      </c>
      <c r="B7" s="79">
        <f>Supuestos!$B$29</f>
        <v>1020.3049999999999</v>
      </c>
      <c r="C7" s="79">
        <f>Supuestos!$C$29</f>
        <v>250.5</v>
      </c>
      <c r="D7" s="79">
        <f>Supuestos!$D$29</f>
        <v>490</v>
      </c>
      <c r="E7" s="15">
        <f>Supuestos!$I$29</f>
        <v>1.5781000000000001</v>
      </c>
      <c r="F7" s="79">
        <f>Supuestos!$J$29</f>
        <v>15</v>
      </c>
      <c r="G7" s="14">
        <f>Supuestos!$K$29</f>
        <v>0.5</v>
      </c>
      <c r="H7" s="13">
        <f>Supuestos!$H$29</f>
        <v>300000</v>
      </c>
    </row>
    <row r="8" spans="1:8" x14ac:dyDescent="0.3">
      <c r="A8" s="10" t="s">
        <v>27</v>
      </c>
      <c r="B8" s="79">
        <f>Supuestos!$B$30</f>
        <v>839.41</v>
      </c>
      <c r="C8" s="79">
        <f>Supuestos!$C$30</f>
        <v>0</v>
      </c>
      <c r="D8" s="79">
        <f>Supuestos!$D$30</f>
        <v>0</v>
      </c>
      <c r="E8" s="15">
        <f>Supuestos!$I$30</f>
        <v>1.6838</v>
      </c>
      <c r="F8" s="79">
        <f>Supuestos!$J$30</f>
        <v>15</v>
      </c>
      <c r="G8" s="14">
        <f>Supuestos!$K$30</f>
        <v>0.5</v>
      </c>
      <c r="H8" s="13">
        <f>Supuestos!$H$30</f>
        <v>250000</v>
      </c>
    </row>
    <row r="9" spans="1:8" x14ac:dyDescent="0.3">
      <c r="A9" s="10" t="s">
        <v>30</v>
      </c>
      <c r="B9" s="79">
        <f>Supuestos!$B$31</f>
        <v>839.41</v>
      </c>
      <c r="C9" s="79">
        <f>Supuestos!$C$31</f>
        <v>501</v>
      </c>
      <c r="D9" s="79">
        <f>Supuestos!$D$31</f>
        <v>980</v>
      </c>
      <c r="E9" s="15">
        <f>Supuestos!$I$31</f>
        <v>1.5891</v>
      </c>
      <c r="F9" s="79">
        <f>Supuestos!$J$31</f>
        <v>15</v>
      </c>
      <c r="G9" s="14">
        <f>Supuestos!$K$31</f>
        <v>0.5</v>
      </c>
      <c r="H9" s="13">
        <f>Supuestos!$H$31</f>
        <v>0</v>
      </c>
    </row>
    <row r="10" spans="1:8" x14ac:dyDescent="0.3">
      <c r="A10" s="10" t="s">
        <v>32</v>
      </c>
      <c r="B10" s="79">
        <f>Supuestos!$B$32</f>
        <v>1565.135</v>
      </c>
      <c r="C10" s="79">
        <f>Supuestos!$C$32</f>
        <v>1252.5</v>
      </c>
      <c r="D10" s="79">
        <f>Supuestos!$D$32</f>
        <v>2450</v>
      </c>
      <c r="E10" s="15">
        <f>Supuestos!$I$32</f>
        <v>1.6116999999999999</v>
      </c>
      <c r="F10" s="79">
        <f>Supuestos!$J$32</f>
        <v>15</v>
      </c>
      <c r="G10" s="14">
        <f>Supuestos!$K$32</f>
        <v>0.5</v>
      </c>
      <c r="H10" s="13">
        <f>Supuestos!$H$32</f>
        <v>0</v>
      </c>
    </row>
    <row r="11" spans="1:8" x14ac:dyDescent="0.3">
      <c r="A11" s="10" t="s">
        <v>34</v>
      </c>
      <c r="B11" s="79">
        <f>Supuestos!$B$33</f>
        <v>839.41</v>
      </c>
      <c r="C11" s="79">
        <f>Supuestos!$C$33</f>
        <v>751.5</v>
      </c>
      <c r="D11" s="79">
        <f>Supuestos!$D$33</f>
        <v>1470</v>
      </c>
      <c r="E11" s="15">
        <f>Supuestos!$I$33</f>
        <v>1.6088</v>
      </c>
      <c r="F11" s="79">
        <f>Supuestos!$J$33</f>
        <v>15</v>
      </c>
      <c r="G11" s="14">
        <f>Supuestos!$K$33</f>
        <v>0.5</v>
      </c>
      <c r="H11" s="13">
        <f>Supuestos!$H$33</f>
        <v>0</v>
      </c>
    </row>
    <row r="14" spans="1:8" ht="18" customHeight="1" x14ac:dyDescent="0.3">
      <c r="A14" s="3" t="s">
        <v>270</v>
      </c>
      <c r="B14" s="4"/>
      <c r="C14" s="4"/>
      <c r="D14" s="4"/>
      <c r="E14" s="4"/>
      <c r="F14" s="4"/>
      <c r="G14" s="4"/>
      <c r="H14" s="4"/>
    </row>
    <row r="15" spans="1:8" ht="27.75" customHeight="1" x14ac:dyDescent="0.3">
      <c r="A15" s="9" t="s">
        <v>84</v>
      </c>
      <c r="B15" s="9" t="s">
        <v>271</v>
      </c>
      <c r="C15" s="9" t="s">
        <v>272</v>
      </c>
      <c r="D15" s="9" t="s">
        <v>273</v>
      </c>
      <c r="E15" s="9" t="s">
        <v>274</v>
      </c>
      <c r="F15" s="9" t="s">
        <v>275</v>
      </c>
      <c r="G15" s="9" t="s">
        <v>276</v>
      </c>
      <c r="H15" s="9" t="s">
        <v>277</v>
      </c>
    </row>
    <row r="16" spans="1:8" x14ac:dyDescent="0.3">
      <c r="A16" s="10" t="s">
        <v>22</v>
      </c>
      <c r="B16" s="13">
        <f>Ixtlahuacán!$H$79</f>
        <v>10237246.9409438</v>
      </c>
      <c r="C16" s="13">
        <f>Ixtlahuacán!$B$106</f>
        <v>40520361.375</v>
      </c>
      <c r="D16" s="27">
        <f>Ixtlahuacán!$G$100</f>
        <v>0.30515621116007785</v>
      </c>
      <c r="E16" s="13">
        <f>Ixtlahuacán!$K$79</f>
        <v>3573170.277914498</v>
      </c>
      <c r="F16" s="27">
        <f>Ixtlahuacán!$G$101</f>
        <v>0.18294207038367039</v>
      </c>
      <c r="G16" s="13">
        <f>Ixtlahuacán!$J$72</f>
        <v>11170648.508450959</v>
      </c>
      <c r="H16" s="14">
        <f>Ixtlahuacán!$C$21</f>
        <v>0.21259287334774465</v>
      </c>
    </row>
    <row r="17" spans="1:8" x14ac:dyDescent="0.3">
      <c r="A17" s="10" t="s">
        <v>25</v>
      </c>
      <c r="B17" s="13">
        <f>Acapulco!$H$79</f>
        <v>6070288.6339885378</v>
      </c>
      <c r="C17" s="13">
        <f>Acapulco!$B$106</f>
        <v>16137624.5625</v>
      </c>
      <c r="D17" s="27">
        <f>Acapulco!$G$100</f>
        <v>0.43092558578671358</v>
      </c>
      <c r="E17" s="13">
        <f>Acapulco!$K$79</f>
        <v>3353681.2868334334</v>
      </c>
      <c r="F17" s="27">
        <f>Acapulco!$G$101</f>
        <v>0.18679136760305681</v>
      </c>
      <c r="G17" s="13">
        <f>Acapulco!$J$72</f>
        <v>6212518.2804859504</v>
      </c>
      <c r="H17" s="14">
        <f>Acapulco!$C$21</f>
        <v>0.21986264071193523</v>
      </c>
    </row>
    <row r="18" spans="1:8" x14ac:dyDescent="0.3">
      <c r="A18" s="10" t="s">
        <v>27</v>
      </c>
      <c r="B18" s="13">
        <f>Cancún!$H$79</f>
        <v>4311691.884407213</v>
      </c>
      <c r="C18" s="13">
        <f>Cancún!$B$106</f>
        <v>11298734.125</v>
      </c>
      <c r="D18" s="27">
        <f>Cancún!$G$100</f>
        <v>0.4359692322611084</v>
      </c>
      <c r="E18" s="13">
        <f>Cancún!$K$79</f>
        <v>2462692.9029052546</v>
      </c>
      <c r="F18" s="27">
        <f>Cancún!$G$101</f>
        <v>0.18090211762494435</v>
      </c>
      <c r="G18" s="13">
        <f>Cancún!$J$72</f>
        <v>4331791.8628673675</v>
      </c>
      <c r="H18" s="14">
        <f>Cancún!$C$21</f>
        <v>0.2708331913787882</v>
      </c>
    </row>
    <row r="19" spans="1:8" x14ac:dyDescent="0.3">
      <c r="A19" s="10" t="s">
        <v>30</v>
      </c>
      <c r="B19" s="13">
        <f>'Proplasa PR1'!$H$79</f>
        <v>3792401.3777777762</v>
      </c>
      <c r="C19" s="13">
        <f>'Proplasa PR1'!$B$106</f>
        <v>15864454.125</v>
      </c>
      <c r="D19" s="27">
        <f>'Proplasa PR1'!$G$100</f>
        <v>0.28566511637404579</v>
      </c>
      <c r="E19" s="13">
        <f>'Proplasa PR1'!$K$79</f>
        <v>1246444.2003433425</v>
      </c>
      <c r="F19" s="27">
        <f>'Proplasa PR1'!$G$101</f>
        <v>0.18105675146257494</v>
      </c>
      <c r="G19" s="13">
        <f>'Proplasa PR1'!$J$72</f>
        <v>4517195.2699725116</v>
      </c>
      <c r="H19" s="14">
        <f>'Proplasa PR1'!$C$21</f>
        <v>0.1403800439883843</v>
      </c>
    </row>
    <row r="20" spans="1:8" x14ac:dyDescent="0.3">
      <c r="A20" s="10" t="s">
        <v>32</v>
      </c>
      <c r="B20" s="13">
        <f>'Proplasa PR2'!$H$79</f>
        <v>7934160.2962122541</v>
      </c>
      <c r="C20" s="13">
        <f>'Proplasa PR2'!$B$106</f>
        <v>32640389.4375</v>
      </c>
      <c r="D20" s="27">
        <f>'Proplasa PR2'!$G$100</f>
        <v>0.28926483285891824</v>
      </c>
      <c r="E20" s="13">
        <f>'Proplasa PR2'!$K$79</f>
        <v>2748991.2241701353</v>
      </c>
      <c r="F20" s="27">
        <f>'Proplasa PR2'!$G$101</f>
        <v>0.17995412008062694</v>
      </c>
      <c r="G20" s="13">
        <f>'Proplasa PR2'!$J$72</f>
        <v>9667366.0786651224</v>
      </c>
      <c r="H20" s="14">
        <f>'Proplasa PR2'!$C$21</f>
        <v>9.4651182904470804E-2</v>
      </c>
    </row>
    <row r="21" spans="1:8" x14ac:dyDescent="0.3">
      <c r="A21" s="10" t="s">
        <v>34</v>
      </c>
      <c r="B21" s="13">
        <f>'Proplasa Tapas'!$H$79</f>
        <v>4480624.8189291572</v>
      </c>
      <c r="C21" s="13">
        <f>'Proplasa Tapas'!$B$106</f>
        <v>18272314.125</v>
      </c>
      <c r="D21" s="27">
        <f>'Proplasa Tapas'!$G$100</f>
        <v>0.29125500722891995</v>
      </c>
      <c r="E21" s="13">
        <f>'Proplasa Tapas'!$K$79</f>
        <v>1606410.1263614444</v>
      </c>
      <c r="F21" s="27">
        <f>'Proplasa Tapas'!$G$101</f>
        <v>0.17844880455008316</v>
      </c>
      <c r="G21" s="13">
        <f>'Proplasa Tapas'!$J$72</f>
        <v>5506797.3403233904</v>
      </c>
      <c r="H21" s="14">
        <f>'Proplasa Tapas'!$C$21</f>
        <v>8.6688996231325505E-2</v>
      </c>
    </row>
    <row r="22" spans="1:8" x14ac:dyDescent="0.3">
      <c r="A22" s="16" t="s">
        <v>36</v>
      </c>
      <c r="B22" s="19">
        <f>SUM(B16:B21)</f>
        <v>36826413.952258743</v>
      </c>
      <c r="C22" s="19">
        <f>SUM(C16:C21)</f>
        <v>134733877.75</v>
      </c>
      <c r="D22" s="16"/>
      <c r="E22" s="19">
        <f>SUM(E16:E21)</f>
        <v>14991390.018528108</v>
      </c>
      <c r="F22" s="18"/>
      <c r="G22" s="19">
        <f>SUM(G16:G21)</f>
        <v>41406317.340765297</v>
      </c>
      <c r="H22" s="18"/>
    </row>
    <row r="24" spans="1:8" ht="15" customHeight="1" x14ac:dyDescent="0.3">
      <c r="A24" s="98" t="s">
        <v>278</v>
      </c>
      <c r="B24" s="98"/>
      <c r="C24" s="98"/>
      <c r="D24" s="98"/>
      <c r="E24" s="98"/>
      <c r="F24" s="98"/>
      <c r="G24" s="98"/>
      <c r="H24" s="98"/>
    </row>
    <row r="25" spans="1:8" x14ac:dyDescent="0.3">
      <c r="A25" s="98"/>
      <c r="B25" s="98"/>
      <c r="C25" s="98"/>
      <c r="D25" s="98"/>
      <c r="E25" s="98"/>
      <c r="F25" s="98"/>
      <c r="G25" s="98"/>
      <c r="H25" s="98"/>
    </row>
    <row r="26" spans="1:8" x14ac:dyDescent="0.3">
      <c r="A26" s="98"/>
      <c r="B26" s="98"/>
      <c r="C26" s="98"/>
      <c r="D26" s="98"/>
      <c r="E26" s="98"/>
      <c r="F26" s="98"/>
      <c r="G26" s="98"/>
      <c r="H26" s="98"/>
    </row>
  </sheetData>
  <mergeCells count="1">
    <mergeCell ref="A24:H2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showGridLines="0" zoomScaleNormal="100" workbookViewId="0"/>
  </sheetViews>
  <sheetFormatPr defaultColWidth="8.6640625" defaultRowHeight="14.4" x14ac:dyDescent="0.3"/>
  <cols>
    <col min="1" max="1" width="8" customWidth="1"/>
    <col min="2" max="2" width="12" customWidth="1"/>
    <col min="3" max="3" width="18" customWidth="1"/>
    <col min="4" max="4" width="16" customWidth="1"/>
    <col min="5" max="6" width="18" customWidth="1"/>
    <col min="7" max="7" width="20" customWidth="1"/>
    <col min="8" max="8" width="18" customWidth="1"/>
    <col min="9" max="9" width="20" customWidth="1"/>
  </cols>
  <sheetData>
    <row r="1" spans="1:9" ht="16.8" x14ac:dyDescent="0.3">
      <c r="A1" s="20" t="s">
        <v>279</v>
      </c>
    </row>
    <row r="2" spans="1:9" x14ac:dyDescent="0.3">
      <c r="A2" s="2" t="s">
        <v>280</v>
      </c>
    </row>
    <row r="4" spans="1:9" ht="27.75" customHeight="1" x14ac:dyDescent="0.3">
      <c r="A4" s="9" t="s">
        <v>201</v>
      </c>
      <c r="B4" s="9" t="s">
        <v>202</v>
      </c>
      <c r="C4" s="9" t="s">
        <v>187</v>
      </c>
      <c r="D4" s="9" t="s">
        <v>281</v>
      </c>
      <c r="E4" s="9" t="s">
        <v>191</v>
      </c>
      <c r="F4" s="9" t="s">
        <v>207</v>
      </c>
      <c r="G4" s="9" t="s">
        <v>210</v>
      </c>
      <c r="H4" s="9" t="s">
        <v>282</v>
      </c>
      <c r="I4" s="9" t="s">
        <v>283</v>
      </c>
    </row>
    <row r="5" spans="1:9" x14ac:dyDescent="0.3">
      <c r="A5" s="12">
        <v>1</v>
      </c>
      <c r="B5" s="12" t="str">
        <f t="shared" ref="B5:B24" si="0">IF(A5&lt;=6,"Autoabasto","CFE pleno")</f>
        <v>Autoabasto</v>
      </c>
      <c r="C5" s="66">
        <f>Ixtlahuacán!C79+Acapulco!C79+Cancún!C79+'Proplasa PR1'!C79+'Proplasa PR2'!C79+'Proplasa Tapas'!C79</f>
        <v>312312223.24220002</v>
      </c>
      <c r="D5" s="66">
        <f>(Ixtlahuacán!D79+Ixtlahuacán!E79+Ixtlahuacán!F79)+(Acapulco!D79+Acapulco!E79+Acapulco!F79)+(Cancún!D79+Cancún!E79+Cancún!F79)+('Proplasa PR1'!D79+'Proplasa PR1'!E79+'Proplasa PR1'!F79)+('Proplasa PR2'!D79+'Proplasa PR2'!E79+'Proplasa PR2'!F79)+('Proplasa Tapas'!D79+'Proplasa Tapas'!E79+'Proplasa Tapas'!F79)</f>
        <v>40427549.352258742</v>
      </c>
      <c r="E5" s="66">
        <f>Ixtlahuacán!G79+Acapulco!G79+Cancún!G79+'Proplasa PR1'!G79+'Proplasa PR2'!G79+'Proplasa Tapas'!G79</f>
        <v>271884673.88994133</v>
      </c>
      <c r="F5" s="66">
        <f>Ixtlahuacán!H79+Acapulco!H79+Cancún!H79+'Proplasa PR1'!H79+'Proplasa PR2'!H79+'Proplasa Tapas'!H79</f>
        <v>36826413.952258743</v>
      </c>
      <c r="G5" s="66">
        <f>Ixtlahuacán!K79+Acapulco!K79+Cancún!K79+'Proplasa PR1'!K79+'Proplasa PR2'!K79+'Proplasa Tapas'!K79</f>
        <v>14991390.018528108</v>
      </c>
      <c r="H5" s="66">
        <f>F5</f>
        <v>36826413.952258743</v>
      </c>
      <c r="I5" s="66">
        <f>G5</f>
        <v>14991390.018528108</v>
      </c>
    </row>
    <row r="6" spans="1:9" x14ac:dyDescent="0.3">
      <c r="A6" s="12">
        <v>2</v>
      </c>
      <c r="B6" s="12" t="str">
        <f t="shared" si="0"/>
        <v>Autoabasto</v>
      </c>
      <c r="C6" s="66">
        <f>Ixtlahuacán!C80+Acapulco!C80+Cancún!C80+'Proplasa PR1'!C80+'Proplasa PR2'!C80+'Proplasa Tapas'!C80</f>
        <v>331050956.63673204</v>
      </c>
      <c r="D6" s="66">
        <f>(Ixtlahuacán!D80+Ixtlahuacán!E80+Ixtlahuacán!F80)+(Acapulco!D80+Acapulco!E80+Acapulco!F80)+(Cancún!D80+Cancún!E80+Cancún!F80)+('Proplasa PR1'!D80+'Proplasa PR1'!E80+'Proplasa PR1'!F80)+('Proplasa PR2'!D80+'Proplasa PR2'!E80+'Proplasa PR2'!F80)+('Proplasa Tapas'!D80+'Proplasa Tapas'!E80+'Proplasa Tapas'!F80)</f>
        <v>42576570.279988639</v>
      </c>
      <c r="E6" s="66">
        <f>Ixtlahuacán!G80+Acapulco!G80+Cancún!G80+'Proplasa PR1'!G80+'Proplasa PR2'!G80+'Proplasa Tapas'!G80</f>
        <v>288474386.3567434</v>
      </c>
      <c r="F6" s="66">
        <f>Ixtlahuacán!H80+Acapulco!H80+Cancún!H80+'Proplasa PR1'!H80+'Proplasa PR2'!H80+'Proplasa Tapas'!H80</f>
        <v>38759366.755988643</v>
      </c>
      <c r="G6" s="66">
        <f>Ixtlahuacán!K80+Acapulco!K80+Cancún!K80+'Proplasa PR1'!K80+'Proplasa PR2'!K80+'Proplasa Tapas'!K80</f>
        <v>15992662.942048747</v>
      </c>
      <c r="H6" s="66">
        <f t="shared" ref="H6:H24" si="1">H5+F6</f>
        <v>75585780.708247393</v>
      </c>
      <c r="I6" s="66">
        <f t="shared" ref="I6:I24" si="2">I5+G6</f>
        <v>30984052.960576855</v>
      </c>
    </row>
    <row r="7" spans="1:9" x14ac:dyDescent="0.3">
      <c r="A7" s="12">
        <v>3</v>
      </c>
      <c r="B7" s="12" t="str">
        <f t="shared" si="0"/>
        <v>Autoabasto</v>
      </c>
      <c r="C7" s="66">
        <f>Ixtlahuacán!C81+Acapulco!C81+Cancún!C81+'Proplasa PR1'!C81+'Proplasa PR2'!C81+'Proplasa Tapas'!C81</f>
        <v>350914014.03493607</v>
      </c>
      <c r="D7" s="66">
        <f>(Ixtlahuacán!D81+Ixtlahuacán!E81+Ixtlahuacán!F81)+(Acapulco!D81+Acapulco!E81+Acapulco!F81)+(Cancún!D81+Cancún!E81+Cancún!F81)+('Proplasa PR1'!D81+'Proplasa PR1'!E81+'Proplasa PR1'!F81)+('Proplasa PR2'!D81+'Proplasa PR2'!E81+'Proplasa PR2'!F81)+('Proplasa Tapas'!D81+'Proplasa Tapas'!E81+'Proplasa Tapas'!F81)</f>
        <v>44840399.277385138</v>
      </c>
      <c r="E7" s="66">
        <f>Ixtlahuacán!G81+Acapulco!G81+Cancún!G81+'Proplasa PR1'!G81+'Proplasa PR2'!G81+'Proplasa Tapas'!G81</f>
        <v>306073614.7575509</v>
      </c>
      <c r="F7" s="66">
        <f>Ixtlahuacán!H81+Acapulco!H81+Cancún!H81+'Proplasa PR1'!H81+'Proplasa PR2'!H81+'Proplasa Tapas'!H81</f>
        <v>40794163.541945137</v>
      </c>
      <c r="G7" s="66">
        <f>Ixtlahuacán!K81+Acapulco!K81+Cancún!K81+'Proplasa PR1'!K81+'Proplasa PR2'!K81+'Proplasa Tapas'!K81</f>
        <v>17056939.027936962</v>
      </c>
      <c r="H7" s="66">
        <f t="shared" si="1"/>
        <v>116379944.25019252</v>
      </c>
      <c r="I7" s="66">
        <f t="shared" si="2"/>
        <v>48040991.988513812</v>
      </c>
    </row>
    <row r="8" spans="1:9" x14ac:dyDescent="0.3">
      <c r="A8" s="12">
        <v>4</v>
      </c>
      <c r="B8" s="12" t="str">
        <f t="shared" si="0"/>
        <v>Autoabasto</v>
      </c>
      <c r="C8" s="66">
        <f>Ixtlahuacán!C82+Acapulco!C82+Cancún!C82+'Proplasa PR1'!C82+'Proplasa PR2'!C82+'Proplasa Tapas'!C82</f>
        <v>371968854.87703216</v>
      </c>
      <c r="D8" s="66">
        <f>(Ixtlahuacán!D82+Ixtlahuacán!E82+Ixtlahuacán!F82)+(Acapulco!D82+Acapulco!E82+Acapulco!F82)+(Cancún!D82+Cancún!E82+Cancún!F82)+('Proplasa PR1'!D82+'Proplasa PR1'!E82+'Proplasa PR1'!F82)+('Proplasa PR2'!D82+'Proplasa PR2'!E82+'Proplasa PR2'!F82)+('Proplasa Tapas'!D82+'Proplasa Tapas'!E82+'Proplasa Tapas'!F82)</f>
        <v>47225198.427260429</v>
      </c>
      <c r="E8" s="66">
        <f>Ixtlahuacán!G82+Acapulco!G82+Cancún!G82+'Proplasa PR1'!G82+'Proplasa PR2'!G82+'Proplasa Tapas'!G82</f>
        <v>324743656.44977176</v>
      </c>
      <c r="F8" s="66">
        <f>Ixtlahuacán!H82+Acapulco!H82+Cancún!H82+'Proplasa PR1'!H82+'Proplasa PR2'!H82+'Proplasa Tapas'!H82</f>
        <v>42936188.547694035</v>
      </c>
      <c r="G8" s="66">
        <f>Ixtlahuacán!K82+Acapulco!K82+Cancún!K82+'Proplasa PR1'!K82+'Proplasa PR2'!K82+'Proplasa Tapas'!K82</f>
        <v>18188041.37054614</v>
      </c>
      <c r="H8" s="66">
        <f t="shared" si="1"/>
        <v>159316132.79788655</v>
      </c>
      <c r="I8" s="66">
        <f t="shared" si="2"/>
        <v>66229033.359059952</v>
      </c>
    </row>
    <row r="9" spans="1:9" x14ac:dyDescent="0.3">
      <c r="A9" s="12">
        <v>5</v>
      </c>
      <c r="B9" s="12" t="str">
        <f t="shared" si="0"/>
        <v>Autoabasto</v>
      </c>
      <c r="C9" s="66">
        <f>Ixtlahuacán!C83+Acapulco!C83+Cancún!C83+'Proplasa PR1'!C83+'Proplasa PR2'!C83+'Proplasa Tapas'!C83</f>
        <v>394286986.16965413</v>
      </c>
      <c r="D9" s="66">
        <f>(Ixtlahuacán!D83+Ixtlahuacán!E83+Ixtlahuacán!F83)+(Acapulco!D83+Acapulco!E83+Acapulco!F83)+(Cancún!D83+Cancún!E83+Cancún!F83)+('Proplasa PR1'!D83+'Proplasa PR1'!E83+'Proplasa PR1'!F83)+('Proplasa PR2'!D83+'Proplasa PR2'!E83+'Proplasa PR2'!F83)+('Proplasa Tapas'!D83+'Proplasa Tapas'!E83+'Proplasa Tapas'!F83)</f>
        <v>49737461.985713273</v>
      </c>
      <c r="E9" s="66">
        <f>Ixtlahuacán!G83+Acapulco!G83+Cancún!G83+'Proplasa PR1'!G83+'Proplasa PR2'!G83+'Proplasa Tapas'!G83</f>
        <v>344549524.18394089</v>
      </c>
      <c r="F9" s="66">
        <f>Ixtlahuacán!H83+Acapulco!H83+Cancún!H83+'Proplasa PR1'!H83+'Proplasa PR2'!H83+'Proplasa Tapas'!H83</f>
        <v>45191111.513372891</v>
      </c>
      <c r="G9" s="66">
        <f>Ixtlahuacán!K83+Acapulco!K83+Cancún!K83+'Proplasa PR1'!K83+'Proplasa PR2'!K83+'Proplasa Tapas'!K83</f>
        <v>19390019.599176131</v>
      </c>
      <c r="H9" s="66">
        <f t="shared" si="1"/>
        <v>204507244.31125945</v>
      </c>
      <c r="I9" s="66">
        <f t="shared" si="2"/>
        <v>85619052.958236083</v>
      </c>
    </row>
    <row r="10" spans="1:9" x14ac:dyDescent="0.3">
      <c r="A10" s="12">
        <v>6</v>
      </c>
      <c r="B10" s="12" t="str">
        <f t="shared" si="0"/>
        <v>Autoabasto</v>
      </c>
      <c r="C10" s="66">
        <f>Ixtlahuacán!C84+Acapulco!C84+Cancún!C84+'Proplasa PR1'!C84+'Proplasa PR2'!C84+'Proplasa Tapas'!C84</f>
        <v>417944205.33983338</v>
      </c>
      <c r="D10" s="66">
        <f>(Ixtlahuacán!D84+Ixtlahuacán!E84+Ixtlahuacán!F84)+(Acapulco!D84+Acapulco!E84+Acapulco!F84)+(Cancún!D84+Cancún!E84+Cancún!F84)+('Proplasa PR1'!D84+'Proplasa PR1'!E84+'Proplasa PR1'!F84)+('Proplasa PR2'!D84+'Proplasa PR2'!E84+'Proplasa PR2'!F84)+('Proplasa Tapas'!D84+'Proplasa Tapas'!E84+'Proplasa Tapas'!F84)</f>
        <v>52384034.36047969</v>
      </c>
      <c r="E10" s="66">
        <f>Ixtlahuacán!G84+Acapulco!G84+Cancún!G84+'Proplasa PR1'!G84+'Proplasa PR2'!G84+'Proplasa Tapas'!G84</f>
        <v>365560170.97935373</v>
      </c>
      <c r="F10" s="66">
        <f>Ixtlahuacán!H84+Acapulco!H84+Cancún!H84+'Proplasa PR1'!H84+'Proplasa PR2'!H84+'Proplasa Tapas'!H84</f>
        <v>47564902.859798878</v>
      </c>
      <c r="G10" s="66">
        <f>Ixtlahuacán!K84+Acapulco!K84+Cancún!K84+'Proplasa PR1'!K84+'Proplasa PR2'!K84+'Proplasa Tapas'!K84</f>
        <v>20667163.083825856</v>
      </c>
      <c r="H10" s="66">
        <f t="shared" si="1"/>
        <v>252072147.17105833</v>
      </c>
      <c r="I10" s="66">
        <f t="shared" si="2"/>
        <v>106286216.04206194</v>
      </c>
    </row>
    <row r="11" spans="1:9" x14ac:dyDescent="0.3">
      <c r="A11" s="12">
        <v>7</v>
      </c>
      <c r="B11" s="12" t="str">
        <f t="shared" si="0"/>
        <v>CFE pleno</v>
      </c>
      <c r="C11" s="66">
        <f>Ixtlahuacán!C85+Acapulco!C85+Cancún!C85+'Proplasa PR1'!C85+'Proplasa PR2'!C85+'Proplasa Tapas'!C85</f>
        <v>475437357.02307755</v>
      </c>
      <c r="D11" s="66">
        <f>(Ixtlahuacán!D85+Ixtlahuacán!E85+Ixtlahuacán!F85)+(Acapulco!D85+Acapulco!E85+Acapulco!F85)+(Cancún!D85+Cancún!E85+Cancún!F85)+('Proplasa PR1'!D85+'Proplasa PR1'!E85+'Proplasa PR1'!F85)+('Proplasa PR2'!D85+'Proplasa PR2'!E85+'Proplasa PR2'!F85)+('Proplasa Tapas'!D85+'Proplasa Tapas'!E85+'Proplasa Tapas'!F85)</f>
        <v>55783747.694157518</v>
      </c>
      <c r="E11" s="66">
        <f>Ixtlahuacán!G85+Acapulco!G85+Cancún!G85+'Proplasa PR1'!G85+'Proplasa PR2'!G85+'Proplasa Tapas'!G85</f>
        <v>419653609.32892001</v>
      </c>
      <c r="F11" s="66">
        <f>Ixtlahuacán!H85+Acapulco!H85+Cancún!H85+'Proplasa PR1'!H85+'Proplasa PR2'!H85+'Proplasa Tapas'!H85</f>
        <v>50675468.30343587</v>
      </c>
      <c r="G11" s="66">
        <f>Ixtlahuacán!K85+Acapulco!K85+Cancún!K85+'Proplasa PR1'!K85+'Proplasa PR2'!K85+'Proplasa Tapas'!K85</f>
        <v>22635633.530129127</v>
      </c>
      <c r="H11" s="66">
        <f t="shared" si="1"/>
        <v>302747615.47449422</v>
      </c>
      <c r="I11" s="66">
        <f t="shared" si="2"/>
        <v>128921849.57219106</v>
      </c>
    </row>
    <row r="12" spans="1:9" x14ac:dyDescent="0.3">
      <c r="A12" s="12">
        <v>8</v>
      </c>
      <c r="B12" s="12" t="str">
        <f t="shared" si="0"/>
        <v>CFE pleno</v>
      </c>
      <c r="C12" s="66">
        <f>Ixtlahuacán!C86+Acapulco!C86+Cancún!C86+'Proplasa PR1'!C86+'Proplasa PR2'!C86+'Proplasa Tapas'!C86</f>
        <v>503963598.44446218</v>
      </c>
      <c r="D12" s="66">
        <f>(Ixtlahuacán!D86+Ixtlahuacán!E86+Ixtlahuacán!F86)+(Acapulco!D86+Acapulco!E86+Acapulco!F86)+(Cancún!D86+Cancún!E86+Cancún!F86)+('Proplasa PR1'!D86+'Proplasa PR1'!E86+'Proplasa PR1'!F86)+('Proplasa PR2'!D86+'Proplasa PR2'!E86+'Proplasa PR2'!F86)+('Proplasa Tapas'!D86+'Proplasa Tapas'!E86+'Proplasa Tapas'!F86)</f>
        <v>58754422.87543276</v>
      </c>
      <c r="E12" s="66">
        <f>Ixtlahuacán!G86+Acapulco!G86+Cancún!G86+'Proplasa PR1'!G86+'Proplasa PR2'!G86+'Proplasa Tapas'!G86</f>
        <v>445209175.56902939</v>
      </c>
      <c r="F12" s="66">
        <f>Ixtlahuacán!H86+Acapulco!H86+Cancún!H86+'Proplasa PR1'!H86+'Proplasa PR2'!H86+'Proplasa Tapas'!H86</f>
        <v>53339646.721267812</v>
      </c>
      <c r="G12" s="66">
        <f>Ixtlahuacán!K86+Acapulco!K86+Cancún!K86+'Proplasa PR1'!K86+'Proplasa PR2'!K86+'Proplasa Tapas'!K86</f>
        <v>24110460.776850231</v>
      </c>
      <c r="H12" s="66">
        <f t="shared" si="1"/>
        <v>356087262.19576204</v>
      </c>
      <c r="I12" s="66">
        <f t="shared" si="2"/>
        <v>153032310.34904128</v>
      </c>
    </row>
    <row r="13" spans="1:9" x14ac:dyDescent="0.3">
      <c r="A13" s="12">
        <v>9</v>
      </c>
      <c r="B13" s="12" t="str">
        <f t="shared" si="0"/>
        <v>CFE pleno</v>
      </c>
      <c r="C13" s="66">
        <f>Ixtlahuacán!C87+Acapulco!C87+Cancún!C87+'Proplasa PR1'!C87+'Proplasa PR2'!C87+'Proplasa Tapas'!C87</f>
        <v>534201414.35112989</v>
      </c>
      <c r="D13" s="66">
        <f>(Ixtlahuacán!D87+Ixtlahuacán!E87+Ixtlahuacán!F87)+(Acapulco!D87+Acapulco!E87+Acapulco!F87)+(Cancún!D87+Cancún!E87+Cancún!F87)+('Proplasa PR1'!D87+'Proplasa PR1'!E87+'Proplasa PR1'!F87)+('Proplasa PR2'!D87+'Proplasa PR2'!E87+'Proplasa PR2'!F87)+('Proplasa Tapas'!D87+'Proplasa Tapas'!E87+'Proplasa Tapas'!F87)</f>
        <v>61884065.78033419</v>
      </c>
      <c r="E13" s="66">
        <f>Ixtlahuacán!G87+Acapulco!G87+Cancún!G87+'Proplasa PR1'!G87+'Proplasa PR2'!G87+'Proplasa Tapas'!G87</f>
        <v>472317348.57079571</v>
      </c>
      <c r="F13" s="66">
        <f>Ixtlahuacán!H87+Acapulco!H87+Cancún!H87+'Proplasa PR1'!H87+'Proplasa PR2'!H87+'Proplasa Tapas'!H87</f>
        <v>56144403.056919336</v>
      </c>
      <c r="G13" s="66">
        <f>Ixtlahuacán!K87+Acapulco!K87+Cancún!K87+'Proplasa PR1'!K87+'Proplasa PR2'!K87+'Proplasa Tapas'!K87</f>
        <v>25676733.587774113</v>
      </c>
      <c r="H13" s="66">
        <f t="shared" si="1"/>
        <v>412231665.25268137</v>
      </c>
      <c r="I13" s="66">
        <f t="shared" si="2"/>
        <v>178709043.93681538</v>
      </c>
    </row>
    <row r="14" spans="1:9" x14ac:dyDescent="0.3">
      <c r="A14" s="12">
        <v>10</v>
      </c>
      <c r="B14" s="12" t="str">
        <f t="shared" si="0"/>
        <v>CFE pleno</v>
      </c>
      <c r="C14" s="66">
        <f>Ixtlahuacán!C88+Acapulco!C88+Cancún!C88+'Proplasa PR1'!C88+'Proplasa PR2'!C88+'Proplasa Tapas'!C88</f>
        <v>566253499.21219766</v>
      </c>
      <c r="D14" s="66">
        <f>(Ixtlahuacán!D88+Ixtlahuacán!E88+Ixtlahuacán!F88)+(Acapulco!D88+Acapulco!E88+Acapulco!F88)+(Cancún!D88+Cancún!E88+Cancún!F88)+('Proplasa PR1'!D88+'Proplasa PR1'!E88+'Proplasa PR1'!F88)+('Proplasa PR2'!D88+'Proplasa PR2'!E88+'Proplasa PR2'!F88)+('Proplasa Tapas'!D88+'Proplasa Tapas'!E88+'Proplasa Tapas'!F88)</f>
        <v>65181221.658824235</v>
      </c>
      <c r="E14" s="66">
        <f>Ixtlahuacán!G88+Acapulco!G88+Cancún!G88+'Proplasa PR1'!G88+'Proplasa PR2'!G88+'Proplasa Tapas'!G88</f>
        <v>501072277.55337346</v>
      </c>
      <c r="F14" s="66">
        <f>Ixtlahuacán!H88+Acapulco!H88+Cancún!H88+'Proplasa PR1'!H88+'Proplasa PR2'!H88+'Proplasa Tapas'!H88</f>
        <v>59097179.172004491</v>
      </c>
      <c r="G14" s="66">
        <f>Ixtlahuacán!K88+Acapulco!K88+Cancún!K88+'Proplasa PR1'!K88+'Proplasa PR2'!K88+'Proplasa Tapas'!K88</f>
        <v>27339948.342645515</v>
      </c>
      <c r="H14" s="66">
        <f t="shared" si="1"/>
        <v>471328844.42468584</v>
      </c>
      <c r="I14" s="66">
        <f t="shared" si="2"/>
        <v>206048992.27946091</v>
      </c>
    </row>
    <row r="15" spans="1:9" x14ac:dyDescent="0.3">
      <c r="A15" s="12">
        <v>11</v>
      </c>
      <c r="B15" s="12" t="str">
        <f t="shared" si="0"/>
        <v>CFE pleno</v>
      </c>
      <c r="C15" s="66">
        <f>Ixtlahuacán!C89+Acapulco!C89+Cancún!C89+'Proplasa PR1'!C89+'Proplasa PR2'!C89+'Proplasa Tapas'!C89</f>
        <v>600228709.16492963</v>
      </c>
      <c r="D15" s="66">
        <f>(Ixtlahuacán!D89+Ixtlahuacán!E89+Ixtlahuacán!F89)+(Acapulco!D89+Acapulco!E89+Acapulco!F89)+(Cancún!D89+Cancún!E89+Cancún!F89)+('Proplasa PR1'!D89+'Proplasa PR1'!E89+'Proplasa PR1'!F89)+('Proplasa PR2'!D89+'Proplasa PR2'!E89+'Proplasa PR2'!F89)+('Proplasa Tapas'!D89+'Proplasa Tapas'!E89+'Proplasa Tapas'!F89)</f>
        <v>68654897.039791375</v>
      </c>
      <c r="E15" s="66">
        <f>Ixtlahuacán!G89+Acapulco!G89+Cancún!G89+'Proplasa PR1'!G89+'Proplasa PR2'!G89+'Proplasa Tapas'!G89</f>
        <v>531573812.12513828</v>
      </c>
      <c r="F15" s="66">
        <f>Ixtlahuacán!H89+Acapulco!H89+Cancún!H89+'Proplasa PR1'!H89+'Proplasa PR2'!H89+'Proplasa Tapas'!H89</f>
        <v>62205812.003762454</v>
      </c>
      <c r="G15" s="66">
        <f>Ixtlahuacán!K89+Acapulco!K89+Cancún!K89+'Proplasa PR1'!K89+'Proplasa PR2'!K89+'Proplasa Tapas'!K89</f>
        <v>29105924.989088029</v>
      </c>
      <c r="H15" s="66">
        <f t="shared" si="1"/>
        <v>533534656.42844832</v>
      </c>
      <c r="I15" s="66">
        <f t="shared" si="2"/>
        <v>235154917.26854894</v>
      </c>
    </row>
    <row r="16" spans="1:9" x14ac:dyDescent="0.3">
      <c r="A16" s="12">
        <v>12</v>
      </c>
      <c r="B16" s="12" t="str">
        <f t="shared" si="0"/>
        <v>CFE pleno</v>
      </c>
      <c r="C16" s="66">
        <f>Ixtlahuacán!C90+Acapulco!C90+Cancún!C90+'Proplasa PR1'!C90+'Proplasa PR2'!C90+'Proplasa Tapas'!C90</f>
        <v>636242431.71482551</v>
      </c>
      <c r="D16" s="66">
        <f>(Ixtlahuacán!D90+Ixtlahuacán!E90+Ixtlahuacán!F90)+(Acapulco!D90+Acapulco!E90+Acapulco!F90)+(Cancún!D90+Cancún!E90+Cancún!F90)+('Proplasa PR1'!D90+'Proplasa PR1'!E90+'Proplasa PR1'!F90)+('Proplasa PR2'!D90+'Proplasa PR2'!E90+'Proplasa PR2'!F90)+('Proplasa Tapas'!D90+'Proplasa Tapas'!E90+'Proplasa Tapas'!F90)</f>
        <v>72314584.728443742</v>
      </c>
      <c r="E16" s="66">
        <f>Ixtlahuacán!G90+Acapulco!G90+Cancún!G90+'Proplasa PR1'!G90+'Proplasa PR2'!G90+'Proplasa Tapas'!G90</f>
        <v>563927846.98638177</v>
      </c>
      <c r="F16" s="66">
        <f>Ixtlahuacán!H90+Acapulco!H90+Cancún!H90+'Proplasa PR1'!H90+'Proplasa PR2'!H90+'Proplasa Tapas'!H90</f>
        <v>65478554.590253077</v>
      </c>
      <c r="G16" s="66">
        <f>Ixtlahuacán!K90+Acapulco!K90+Cancún!K90+'Proplasa PR1'!K90+'Proplasa PR2'!K90+'Proplasa Tapas'!K90</f>
        <v>30980825.81786377</v>
      </c>
      <c r="H16" s="66">
        <f t="shared" si="1"/>
        <v>599013211.01870143</v>
      </c>
      <c r="I16" s="66">
        <f t="shared" si="2"/>
        <v>266135743.0864127</v>
      </c>
    </row>
    <row r="17" spans="1:9" x14ac:dyDescent="0.3">
      <c r="A17" s="12">
        <v>13</v>
      </c>
      <c r="B17" s="12" t="str">
        <f t="shared" si="0"/>
        <v>CFE pleno</v>
      </c>
      <c r="C17" s="66">
        <f>Ixtlahuacán!C91+Acapulco!C91+Cancún!C91+'Proplasa PR1'!C91+'Proplasa PR2'!C91+'Proplasa Tapas'!C91</f>
        <v>674416977.61771512</v>
      </c>
      <c r="D17" s="66">
        <f>(Ixtlahuacán!D91+Ixtlahuacán!E91+Ixtlahuacán!F91)+(Acapulco!D91+Acapulco!E91+Acapulco!F91)+(Cancún!D91+Cancún!E91+Cancún!F91)+('Proplasa PR1'!D91+'Proplasa PR1'!E91+'Proplasa PR1'!F91)+('Proplasa PR2'!D91+'Proplasa PR2'!E91+'Proplasa PR2'!F91)+('Proplasa Tapas'!D91+'Proplasa Tapas'!E91+'Proplasa Tapas'!F91)</f>
        <v>76170290.16326046</v>
      </c>
      <c r="E17" s="66">
        <f>Ixtlahuacán!G91+Acapulco!G91+Cancún!G91+'Proplasa PR1'!G91+'Proplasa PR2'!G91+'Proplasa Tapas'!G91</f>
        <v>598246687.45445466</v>
      </c>
      <c r="F17" s="66">
        <f>Ixtlahuacán!H91+Acapulco!H91+Cancún!H91+'Proplasa PR1'!H91+'Proplasa PR2'!H91+'Proplasa Tapas'!H91</f>
        <v>68924098.216778338</v>
      </c>
      <c r="G17" s="66">
        <f>Ixtlahuacán!K91+Acapulco!K91+Cancún!K91+'Proplasa PR1'!K91+'Proplasa PR2'!K91+'Proplasa Tapas'!K91</f>
        <v>32971175.316465981</v>
      </c>
      <c r="H17" s="66">
        <f t="shared" si="1"/>
        <v>667937309.23547983</v>
      </c>
      <c r="I17" s="66">
        <f t="shared" si="2"/>
        <v>299106918.4028787</v>
      </c>
    </row>
    <row r="18" spans="1:9" x14ac:dyDescent="0.3">
      <c r="A18" s="12">
        <v>14</v>
      </c>
      <c r="B18" s="12" t="str">
        <f t="shared" si="0"/>
        <v>CFE pleno</v>
      </c>
      <c r="C18" s="66">
        <f>Ixtlahuacán!C92+Acapulco!C92+Cancún!C92+'Proplasa PR1'!C92+'Proplasa PR2'!C92+'Proplasa Tapas'!C92</f>
        <v>714881996.27477789</v>
      </c>
      <c r="D18" s="66">
        <f>(Ixtlahuacán!D92+Ixtlahuacán!E92+Ixtlahuacán!F92)+(Acapulco!D92+Acapulco!E92+Acapulco!F92)+(Cancún!D92+Cancún!E92+Cancún!F92)+('Proplasa PR1'!D92+'Proplasa PR1'!E92+'Proplasa PR1'!F92)+('Proplasa PR2'!D92+'Proplasa PR2'!E92+'Proplasa PR2'!F92)+('Proplasa Tapas'!D92+'Proplasa Tapas'!E92+'Proplasa Tapas'!F92)</f>
        <v>80232559.206694216</v>
      </c>
      <c r="E18" s="66">
        <f>Ixtlahuacán!G92+Acapulco!G92+Cancún!G92+'Proplasa PR1'!G92+'Proplasa PR2'!G92+'Proplasa Tapas'!G92</f>
        <v>634649437.06808376</v>
      </c>
      <c r="F18" s="66">
        <f>Ixtlahuacán!H92+Acapulco!H92+Cancún!H92+'Proplasa PR1'!H92+'Proplasa PR2'!H92+'Proplasa Tapas'!H92</f>
        <v>72551595.743423194</v>
      </c>
      <c r="G18" s="66">
        <f>Ixtlahuacán!K92+Acapulco!K92+Cancún!K92+'Proplasa PR1'!K92+'Proplasa PR2'!K92+'Proplasa Tapas'!K92</f>
        <v>35083881.16252248</v>
      </c>
      <c r="H18" s="66">
        <f t="shared" si="1"/>
        <v>740488904.97890306</v>
      </c>
      <c r="I18" s="66">
        <f t="shared" si="2"/>
        <v>334190799.5654012</v>
      </c>
    </row>
    <row r="19" spans="1:9" x14ac:dyDescent="0.3">
      <c r="A19" s="12">
        <v>15</v>
      </c>
      <c r="B19" s="12" t="str">
        <f t="shared" si="0"/>
        <v>CFE pleno</v>
      </c>
      <c r="C19" s="66">
        <f>Ixtlahuacán!C93+Acapulco!C93+Cancún!C93+'Proplasa PR1'!C93+'Proplasa PR2'!C93+'Proplasa Tapas'!C93</f>
        <v>757774916.05126476</v>
      </c>
      <c r="D19" s="66">
        <f>(Ixtlahuacán!D93+Ixtlahuacán!E93+Ixtlahuacán!F93)+(Acapulco!D93+Acapulco!E93+Acapulco!F93)+(Cancún!D93+Cancún!E93+Cancún!F93)+('Proplasa PR1'!D93+'Proplasa PR1'!E93+'Proplasa PR1'!F93)+('Proplasa PR2'!D93+'Proplasa PR2'!E93+'Proplasa PR2'!F93)+('Proplasa Tapas'!D93+'Proplasa Tapas'!E93+'Proplasa Tapas'!F93)</f>
        <v>84512507.447879985</v>
      </c>
      <c r="E19" s="66">
        <f>Ixtlahuacán!G93+Acapulco!G93+Cancún!G93+'Proplasa PR1'!G93+'Proplasa PR2'!G93+'Proplasa Tapas'!G93</f>
        <v>673262408.60338485</v>
      </c>
      <c r="F19" s="66">
        <f>Ixtlahuacán!H93+Acapulco!H93+Cancún!H93+'Proplasa PR1'!H93+'Proplasa PR2'!H93+'Proplasa Tapas'!H93</f>
        <v>76370686.176812679</v>
      </c>
      <c r="G19" s="66">
        <f>Ixtlahuacán!K93+Acapulco!K93+Cancún!K93+'Proplasa PR1'!K93+'Proplasa PR2'!K93+'Proplasa Tapas'!K93</f>
        <v>37326256.421975143</v>
      </c>
      <c r="H19" s="66">
        <f t="shared" si="1"/>
        <v>816859591.1557157</v>
      </c>
      <c r="I19" s="66">
        <f t="shared" si="2"/>
        <v>371517055.98737633</v>
      </c>
    </row>
    <row r="20" spans="1:9" x14ac:dyDescent="0.3">
      <c r="A20" s="12">
        <v>16</v>
      </c>
      <c r="B20" s="12" t="str">
        <f t="shared" si="0"/>
        <v>CFE pleno</v>
      </c>
      <c r="C20" s="66">
        <f>Ixtlahuacán!C94+Acapulco!C94+Cancún!C94+'Proplasa PR1'!C94+'Proplasa PR2'!C94+'Proplasa Tapas'!C94</f>
        <v>803241411.01434052</v>
      </c>
      <c r="D20" s="66">
        <f>(Ixtlahuacán!D94+Ixtlahuacán!E94+Ixtlahuacán!F94)+(Acapulco!D94+Acapulco!E94+Acapulco!F94)+(Cancún!D94+Cancún!E94+Cancún!F94)+('Proplasa PR1'!D94+'Proplasa PR1'!E94+'Proplasa PR1'!F94)+('Proplasa PR2'!D94+'Proplasa PR2'!E94+'Proplasa PR2'!F94)+('Proplasa Tapas'!D94+'Proplasa Tapas'!E94+'Proplasa Tapas'!F94)</f>
        <v>89021851.099888504</v>
      </c>
      <c r="E20" s="66">
        <f>Ixtlahuacán!G94+Acapulco!G94+Cancún!G94+'Proplasa PR1'!G94+'Proplasa PR2'!G94+'Proplasa Tapas'!G94</f>
        <v>714219559.91445208</v>
      </c>
      <c r="F20" s="66">
        <f>Ixtlahuacán!H94+Acapulco!H94+Cancún!H94+'Proplasa PR1'!H94+'Proplasa PR2'!H94+'Proplasa Tapas'!H94</f>
        <v>80391520.55255717</v>
      </c>
      <c r="G20" s="66">
        <f>Ixtlahuacán!K94+Acapulco!K94+Cancún!K94+'Proplasa PR1'!K94+'Proplasa PR2'!K94+'Proplasa Tapas'!K94</f>
        <v>73944527.686097622</v>
      </c>
      <c r="H20" s="66">
        <f t="shared" si="1"/>
        <v>897251111.70827293</v>
      </c>
      <c r="I20" s="66">
        <f t="shared" si="2"/>
        <v>445461583.67347395</v>
      </c>
    </row>
    <row r="21" spans="1:9" x14ac:dyDescent="0.3">
      <c r="A21" s="12">
        <v>17</v>
      </c>
      <c r="B21" s="12" t="str">
        <f t="shared" si="0"/>
        <v>CFE pleno</v>
      </c>
      <c r="C21" s="66">
        <f>Ixtlahuacán!C95+Acapulco!C95+Cancún!C95+'Proplasa PR1'!C95+'Proplasa PR2'!C95+'Proplasa Tapas'!C95</f>
        <v>851435895.67520106</v>
      </c>
      <c r="D21" s="66">
        <f>(Ixtlahuacán!D95+Ixtlahuacán!E95+Ixtlahuacán!F95)+(Acapulco!D95+Acapulco!E95+Acapulco!F95)+(Cancún!D95+Cancún!E95+Cancún!F95)+('Proplasa PR1'!D95+'Proplasa PR1'!E95+'Proplasa PR1'!F95)+('Proplasa PR2'!D95+'Proplasa PR2'!E95+'Proplasa PR2'!F95)+('Proplasa Tapas'!D95+'Proplasa Tapas'!E95+'Proplasa Tapas'!F95)</f>
        <v>93772939.578585103</v>
      </c>
      <c r="E21" s="66">
        <f>Ixtlahuacán!G95+Acapulco!G95+Cancún!G95+'Proplasa PR1'!G95+'Proplasa PR2'!G95+'Proplasa Tapas'!G95</f>
        <v>757662956.09661591</v>
      </c>
      <c r="F21" s="66">
        <f>Ixtlahuacán!H95+Acapulco!H95+Cancún!H95+'Proplasa PR1'!H95+'Proplasa PR2'!H95+'Proplasa Tapas'!H95</f>
        <v>84624789.198413879</v>
      </c>
      <c r="G21" s="66">
        <f>Ixtlahuacán!K95+Acapulco!K95+Cancún!K95+'Proplasa PR1'!K95+'Proplasa PR2'!K95+'Proplasa Tapas'!K95</f>
        <v>77915609.743700475</v>
      </c>
      <c r="H21" s="66">
        <f t="shared" si="1"/>
        <v>981875900.90668678</v>
      </c>
      <c r="I21" s="66">
        <f t="shared" si="2"/>
        <v>523377193.41717446</v>
      </c>
    </row>
    <row r="22" spans="1:9" x14ac:dyDescent="0.3">
      <c r="A22" s="12">
        <v>18</v>
      </c>
      <c r="B22" s="12" t="str">
        <f t="shared" si="0"/>
        <v>CFE pleno</v>
      </c>
      <c r="C22" s="66">
        <f>Ixtlahuacán!C96+Acapulco!C96+Cancún!C96+'Proplasa PR1'!C96+'Proplasa PR2'!C96+'Proplasa Tapas'!C96</f>
        <v>902522049.41571307</v>
      </c>
      <c r="D22" s="66">
        <f>(Ixtlahuacán!D96+Ixtlahuacán!E96+Ixtlahuacán!F96)+(Acapulco!D96+Acapulco!E96+Acapulco!F96)+(Cancún!D96+Cancún!E96+Cancún!F96)+('Proplasa PR1'!D96+'Proplasa PR1'!E96+'Proplasa PR1'!F96)+('Proplasa PR2'!D96+'Proplasa PR2'!E96+'Proplasa PR2'!F96)+('Proplasa Tapas'!D96+'Proplasa Tapas'!E96+'Proplasa Tapas'!F96)</f>
        <v>98778789.854919702</v>
      </c>
      <c r="E22" s="66">
        <f>Ixtlahuacán!G96+Acapulco!G96+Cancún!G96+'Proplasa PR1'!G96+'Proplasa PR2'!G96+'Proplasa Tapas'!G96</f>
        <v>803743259.5607934</v>
      </c>
      <c r="F22" s="66">
        <f>Ixtlahuacán!H96+Acapulco!H96+Cancún!H96+'Proplasa PR1'!H96+'Proplasa PR2'!H96+'Proplasa Tapas'!H96</f>
        <v>89081750.451938197</v>
      </c>
      <c r="G22" s="66">
        <f>Ixtlahuacán!K96+Acapulco!K96+Cancún!K96+'Proplasa PR1'!K96+'Proplasa PR2'!K96+'Proplasa Tapas'!K96</f>
        <v>82100479.80566524</v>
      </c>
      <c r="H22" s="66">
        <f t="shared" si="1"/>
        <v>1070957651.3586249</v>
      </c>
      <c r="I22" s="66">
        <f t="shared" si="2"/>
        <v>605477673.22283971</v>
      </c>
    </row>
    <row r="23" spans="1:9" x14ac:dyDescent="0.3">
      <c r="A23" s="12">
        <v>19</v>
      </c>
      <c r="B23" s="12" t="str">
        <f t="shared" si="0"/>
        <v>CFE pleno</v>
      </c>
      <c r="C23" s="66">
        <f>Ixtlahuacán!C97+Acapulco!C97+Cancún!C97+'Proplasa PR1'!C97+'Proplasa PR2'!C97+'Proplasa Tapas'!C97</f>
        <v>956673372.380656</v>
      </c>
      <c r="D23" s="66">
        <f>(Ixtlahuacán!D97+Ixtlahuacán!E97+Ixtlahuacán!F97)+(Acapulco!D97+Acapulco!E97+Acapulco!F97)+(Cancún!D97+Cancún!E97+Cancún!F97)+('Proplasa PR1'!D97+'Proplasa PR1'!E97+'Proplasa PR1'!F97)+('Proplasa PR2'!D97+'Proplasa PR2'!E97+'Proplasa PR2'!F97)+('Proplasa Tapas'!D97+'Proplasa Tapas'!E97+'Proplasa Tapas'!F97)</f>
        <v>104053122.67750697</v>
      </c>
      <c r="E23" s="66">
        <f>Ixtlahuacán!G97+Acapulco!G97+Cancún!G97+'Proplasa PR1'!G97+'Proplasa PR2'!G97+'Proplasa Tapas'!G97</f>
        <v>852620249.70314908</v>
      </c>
      <c r="F23" s="66">
        <f>Ixtlahuacán!H97+Acapulco!H97+Cancún!H97+'Proplasa PR1'!H97+'Proplasa PR2'!H97+'Proplasa Tapas'!H97</f>
        <v>93774260.910346597</v>
      </c>
      <c r="G23" s="66">
        <f>Ixtlahuacán!K97+Acapulco!K97+Cancún!K97+'Proplasa PR1'!K97+'Proplasa PR2'!K97+'Proplasa Tapas'!K97</f>
        <v>86510672.586185604</v>
      </c>
      <c r="H23" s="66">
        <f t="shared" si="1"/>
        <v>1164731912.2689714</v>
      </c>
      <c r="I23" s="66">
        <f t="shared" si="2"/>
        <v>691988345.80902529</v>
      </c>
    </row>
    <row r="24" spans="1:9" x14ac:dyDescent="0.3">
      <c r="A24" s="12">
        <v>20</v>
      </c>
      <c r="B24" s="12" t="str">
        <f t="shared" si="0"/>
        <v>CFE pleno</v>
      </c>
      <c r="C24" s="66">
        <f>Ixtlahuacán!C98+Acapulco!C98+Cancún!C98+'Proplasa PR1'!C98+'Proplasa PR2'!C98+'Proplasa Tapas'!C98</f>
        <v>1014073774.7234952</v>
      </c>
      <c r="D24" s="66">
        <f>(Ixtlahuacán!D98+Ixtlahuacán!E98+Ixtlahuacán!F98)+(Acapulco!D98+Acapulco!E98+Acapulco!F98)+(Cancún!D98+Cancún!E98+Cancún!F98)+('Proplasa PR1'!D98+'Proplasa PR1'!E98+'Proplasa PR1'!F98)+('Proplasa PR2'!D98+'Proplasa PR2'!E98+'Proplasa PR2'!F98)+('Proplasa Tapas'!D98+'Proplasa Tapas'!E98+'Proplasa Tapas'!F98)</f>
        <v>109610400.76765929</v>
      </c>
      <c r="E24" s="66">
        <f>Ixtlahuacán!G98+Acapulco!G98+Cancún!G98+'Proplasa PR1'!G98+'Proplasa PR2'!G98+'Proplasa Tapas'!G98</f>
        <v>904463373.95583606</v>
      </c>
      <c r="F24" s="66">
        <f>Ixtlahuacán!H98+Acapulco!H98+Cancún!H98+'Proplasa PR1'!H98+'Proplasa PR2'!H98+'Proplasa Tapas'!H98</f>
        <v>98714807.294469282</v>
      </c>
      <c r="G24" s="66">
        <f>Ixtlahuacán!K98+Acapulco!K98+Cancún!K98+'Proplasa PR1'!K98+'Proplasa PR2'!K98+'Proplasa Tapas'!K98</f>
        <v>91158346.344468474</v>
      </c>
      <c r="H24" s="66">
        <f t="shared" si="1"/>
        <v>1263446719.5634408</v>
      </c>
      <c r="I24" s="66">
        <f t="shared" si="2"/>
        <v>783146692.15349376</v>
      </c>
    </row>
    <row r="25" spans="1:9" x14ac:dyDescent="0.3">
      <c r="A25" s="69" t="s">
        <v>284</v>
      </c>
      <c r="H25" s="19">
        <f>H24</f>
        <v>1263446719.5634408</v>
      </c>
      <c r="I25" s="19">
        <f>I24</f>
        <v>783146692.15349376</v>
      </c>
    </row>
    <row r="27" spans="1:9" x14ac:dyDescent="0.3">
      <c r="A27" s="2" t="s">
        <v>285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Supuestos</vt:lpstr>
      <vt:lpstr>Resumen Ejecutivo</vt:lpstr>
      <vt:lpstr>Ixtlahuacán</vt:lpstr>
      <vt:lpstr>Acapulco</vt:lpstr>
      <vt:lpstr>Cancún</vt:lpstr>
      <vt:lpstr>Proplasa PR1</vt:lpstr>
      <vt:lpstr>Proplasa PR2</vt:lpstr>
      <vt:lpstr>Proplasa Tapas</vt:lpstr>
      <vt:lpstr>Comparativo Comercial</vt:lpstr>
      <vt:lpstr>Proyección 20 años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Mario Vidaña</cp:lastModifiedBy>
  <cp:revision>0</cp:revision>
  <dcterms:created xsi:type="dcterms:W3CDTF">2026-06-15T23:12:05Z</dcterms:created>
  <dcterms:modified xsi:type="dcterms:W3CDTF">2026-06-16T16:43:26Z</dcterms:modified>
  <dc:language>en-US</dc:language>
</cp:coreProperties>
</file>